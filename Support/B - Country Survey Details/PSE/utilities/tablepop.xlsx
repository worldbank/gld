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582018\Downloads\"/>
    </mc:Choice>
  </mc:AlternateContent>
  <xr:revisionPtr revIDLastSave="0" documentId="13_ncr:1_{75279715-C581-4A71-878B-BA5F533E0DF0}" xr6:coauthVersionLast="47" xr6:coauthVersionMax="47" xr10:uidLastSave="{00000000-0000-0000-0000-000000000000}"/>
  <bookViews>
    <workbookView xWindow="1560" yWindow="1560" windowWidth="21450" windowHeight="10740" activeTab="1" xr2:uid="{44BEEF80-E05C-437E-B97E-E716B5BFDD97}"/>
  </bookViews>
  <sheets>
    <sheet name="Sheet1" sheetId="1" r:id="rId1"/>
    <sheet name="Sheet2" sheetId="2" r:id="rId2"/>
    <sheet name="householdsheads" sheetId="3" r:id="rId3"/>
    <sheet name="wag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E16" i="3"/>
  <c r="F13" i="3"/>
  <c r="E13" i="3"/>
  <c r="D13" i="3"/>
  <c r="E3" i="3"/>
  <c r="E7" i="3"/>
  <c r="E4" i="3"/>
  <c r="D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tc={C6B72E74-3C1A-4451-874A-023B65F79F8E}</author>
  </authors>
  <commentList>
    <comment ref="E3" authorId="0" shapeId="0" xr:uid="{C6B72E74-3C1A-4451-874A-023B65F79F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Includes report underemployment
</t>
      </text>
    </comment>
  </commentList>
</comments>
</file>

<file path=xl/sharedStrings.xml><?xml version="1.0" encoding="utf-8"?>
<sst xmlns="http://schemas.openxmlformats.org/spreadsheetml/2006/main" count="133" uniqueCount="61">
  <si>
    <t>pop</t>
  </si>
  <si>
    <t>Population GLD</t>
  </si>
  <si>
    <t>Factor</t>
  </si>
  <si>
    <t>gen help_w_1 = 1
	egen help_w_2 = total(help_w_1)
	egen help_w_3 = total(help_w_1), by(quarter)
	gen help_w_4 = help_w_3/help_w_2
	gen weight = (wfinal/help_w_4)*10</t>
  </si>
  <si>
    <t>wfinal /3.2</t>
  </si>
  <si>
    <t>wfinal/4</t>
  </si>
  <si>
    <t>wfinal/3.1</t>
  </si>
  <si>
    <t>wfinal/3.3</t>
  </si>
  <si>
    <t>(rw*3.3)*10</t>
  </si>
  <si>
    <t>(rw*4)*10</t>
  </si>
  <si>
    <t>quarter	wfinal
1-	22870.76
2-	23191.62
3-	24978.72
4-	22562.71</t>
  </si>
  <si>
    <t>quarter	wfinal
1-	1587758
2-	1678497
3-	1621918
4-	1639734</t>
  </si>
  <si>
    <t>quarter	wfinal
1-	2028799
2-	2046742
3-	2064690
4-	2082635</t>
  </si>
  <si>
    <t>quarter	wfinal
1-	2100571
2-	2118511
3-	2136685
4-	2155099</t>
  </si>
  <si>
    <t>quarter	wfinal
1	-2173510
2	-2191919
3	-2210652
4	-2229607</t>
  </si>
  <si>
    <t>Problem</t>
  </si>
  <si>
    <t>Year</t>
  </si>
  <si>
    <t>weight values</t>
  </si>
  <si>
    <t>quarter	wfinal
1-	2248742
2-	2267638
3-	2287249
4-	2307127</t>
  </si>
  <si>
    <t>quarter	rw
1-	25886.00
2-	24955.00
3-	24807.00
4-	25096.00</t>
  </si>
  <si>
    <t>quarter	rw
1	-27032
2-	26474
3-	26134
4-	25946</t>
  </si>
  <si>
    <t>quarter	rw
1	-28559
2	-27620
3-	27075
4	-27252</t>
  </si>
  <si>
    <t>quarter	rw
1-	29950
2-	29750
3-	28784
4-	28876</t>
  </si>
  <si>
    <t>quarter	rw
1-	29999
2-	29483
3-	28479
4-	28478</t>
  </si>
  <si>
    <t>quarter	rw
1-	29559
2-	27135
3-	29455
4-	30053</t>
  </si>
  <si>
    <t>quarter	rw
1	-26356
2	-25245
3	-29298
4	-26462</t>
  </si>
  <si>
    <t>quarter	wfinal
1	-2327004
2	-2346876
3	-2367536
4	-2388975</t>
  </si>
  <si>
    <t>quarter	wfinal
1-	9771885
2-	2431859
3-	2453690
4-	2475920</t>
  </si>
  <si>
    <t>quarter	wfinal
1-	2498146
2-	2520365
3-	2543006
4-	2566052</t>
  </si>
  <si>
    <t>quarter	wfinal
1-	2589097
2-	2612144
3-	2635245
4-	2658400</t>
  </si>
  <si>
    <t>pop numbers</t>
  </si>
  <si>
    <t xml:space="preserve">NO </t>
  </si>
  <si>
    <t>Reports pop in doc?</t>
  </si>
  <si>
    <t>Not sure may appear there is horitzonal table</t>
  </si>
  <si>
    <t>countrycode</t>
  </si>
  <si>
    <t>countryname</t>
  </si>
  <si>
    <t>year</t>
  </si>
  <si>
    <t>TOT_</t>
  </si>
  <si>
    <t>pop10plus_</t>
  </si>
  <si>
    <t>sh0004_</t>
  </si>
  <si>
    <t>sh0509_</t>
  </si>
  <si>
    <t>share10plus_</t>
  </si>
  <si>
    <t>FE_ZS_</t>
  </si>
  <si>
    <t>FE0004_ZS_</t>
  </si>
  <si>
    <t>MA0004_ZS_</t>
  </si>
  <si>
    <t>FE0509_ZS_</t>
  </si>
  <si>
    <t>MA0509_ZS_</t>
  </si>
  <si>
    <t>fe_share_</t>
  </si>
  <si>
    <t>ma_share_</t>
  </si>
  <si>
    <t>PSE</t>
  </si>
  <si>
    <t>West Bank and Gaza</t>
  </si>
  <si>
    <t>Employment</t>
  </si>
  <si>
    <t>Unemployment</t>
  </si>
  <si>
    <t>In LF</t>
  </si>
  <si>
    <t>Out LF</t>
  </si>
  <si>
    <t>Reports</t>
  </si>
  <si>
    <t>15+</t>
  </si>
  <si>
    <t>underemp</t>
  </si>
  <si>
    <t>GLD</t>
  </si>
  <si>
    <t>ratio GLD</t>
  </si>
  <si>
    <t>ratio PS 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</si>
</sst>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exandra De Los Milagros Quinones Nunura" id="{A05AF2D0-77A6-4C1C-B2B7-4399A2D91E82}" userId="S::aquinonesnunura@worldbank.org::6725e3c8-469e-4463-97cd-667f85a7873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5-12-02T17:28:05.06" personId="{A05AF2D0-77A6-4C1C-B2B7-4399A2D91E82}" id="{C6B72E74-3C1A-4451-874A-023B65F79F8E}">
    <text xml:space="preserve">Includes report underemployment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F6C7-AD6A-4609-AC09-52E03B9936C3}">
  <dimension ref="D2:L19"/>
  <sheetViews>
    <sheetView topLeftCell="E1" workbookViewId="0">
      <selection activeCell="I3" sqref="I3"/>
    </sheetView>
  </sheetViews>
  <sheetFormatPr defaultRowHeight="15" x14ac:dyDescent="0.25"/>
  <cols>
    <col min="5" max="5" width="17.28515625" bestFit="1" customWidth="1"/>
    <col min="6" max="6" width="14.7109375" bestFit="1" customWidth="1"/>
    <col min="7" max="7" width="35.140625" customWidth="1"/>
    <col min="8" max="8" width="19.7109375" bestFit="1" customWidth="1"/>
    <col min="9" max="9" width="12.140625" bestFit="1" customWidth="1"/>
  </cols>
  <sheetData>
    <row r="2" spans="4:12" x14ac:dyDescent="0.25">
      <c r="D2" t="s">
        <v>16</v>
      </c>
      <c r="E2" t="s">
        <v>15</v>
      </c>
      <c r="F2" t="s">
        <v>1</v>
      </c>
      <c r="G2" t="s">
        <v>2</v>
      </c>
      <c r="H2" t="s">
        <v>17</v>
      </c>
      <c r="I2" t="s">
        <v>30</v>
      </c>
      <c r="J2" t="s">
        <v>32</v>
      </c>
    </row>
    <row r="3" spans="4:12" ht="89.25" customHeight="1" x14ac:dyDescent="0.25">
      <c r="D3">
        <v>1998</v>
      </c>
      <c r="E3" t="s">
        <v>0</v>
      </c>
      <c r="F3" s="1">
        <v>3744317.07</v>
      </c>
      <c r="G3" s="3" t="s">
        <v>3</v>
      </c>
      <c r="H3" s="2" t="s">
        <v>10</v>
      </c>
      <c r="I3">
        <v>2776570</v>
      </c>
      <c r="J3" t="s">
        <v>31</v>
      </c>
    </row>
    <row r="4" spans="4:12" ht="75" x14ac:dyDescent="0.25">
      <c r="D4">
        <v>1999</v>
      </c>
      <c r="E4" t="s">
        <v>0</v>
      </c>
      <c r="F4" s="1">
        <v>2039970.9</v>
      </c>
      <c r="G4" t="s">
        <v>4</v>
      </c>
      <c r="H4" s="2" t="s">
        <v>11</v>
      </c>
      <c r="I4">
        <v>2848430</v>
      </c>
      <c r="J4" t="s">
        <v>31</v>
      </c>
    </row>
    <row r="5" spans="4:12" ht="75" x14ac:dyDescent="0.25">
      <c r="D5">
        <v>2000</v>
      </c>
      <c r="E5" t="s">
        <v>0</v>
      </c>
      <c r="F5" s="1">
        <v>2055716.5</v>
      </c>
      <c r="G5" t="s">
        <v>5</v>
      </c>
      <c r="H5" s="2" t="s">
        <v>12</v>
      </c>
      <c r="I5">
        <v>2922150</v>
      </c>
      <c r="J5" t="s">
        <v>31</v>
      </c>
    </row>
    <row r="6" spans="4:12" ht="75" x14ac:dyDescent="0.25">
      <c r="D6">
        <v>2001</v>
      </c>
      <c r="E6" t="s">
        <v>0</v>
      </c>
      <c r="F6" s="1">
        <v>2127716.5</v>
      </c>
      <c r="G6" t="s">
        <v>5</v>
      </c>
      <c r="H6" s="2" t="s">
        <v>13</v>
      </c>
      <c r="I6">
        <v>2997780</v>
      </c>
      <c r="J6" t="s">
        <v>31</v>
      </c>
    </row>
    <row r="7" spans="4:12" ht="75" x14ac:dyDescent="0.25">
      <c r="D7">
        <v>2002</v>
      </c>
      <c r="F7" s="1">
        <v>2201422.04</v>
      </c>
      <c r="G7" t="s">
        <v>5</v>
      </c>
      <c r="H7" s="2" t="s">
        <v>14</v>
      </c>
      <c r="I7">
        <v>3075370</v>
      </c>
      <c r="J7" t="s">
        <v>31</v>
      </c>
    </row>
    <row r="8" spans="4:12" ht="75" x14ac:dyDescent="0.25">
      <c r="D8">
        <v>2003</v>
      </c>
      <c r="E8" t="s">
        <v>0</v>
      </c>
      <c r="F8" s="1">
        <v>2277688.9</v>
      </c>
      <c r="G8" t="s">
        <v>5</v>
      </c>
      <c r="H8" s="2" t="s">
        <v>18</v>
      </c>
      <c r="I8">
        <v>3154970</v>
      </c>
      <c r="J8" t="s">
        <v>31</v>
      </c>
    </row>
    <row r="9" spans="4:12" ht="75" x14ac:dyDescent="0.25">
      <c r="D9">
        <v>2004</v>
      </c>
      <c r="E9" t="s">
        <v>0</v>
      </c>
      <c r="F9" s="1">
        <v>3042061.61</v>
      </c>
      <c r="G9" t="s">
        <v>6</v>
      </c>
      <c r="H9" s="2" t="s">
        <v>26</v>
      </c>
      <c r="I9">
        <v>3236630</v>
      </c>
      <c r="K9" t="s">
        <v>33</v>
      </c>
      <c r="L9">
        <v>3637000</v>
      </c>
    </row>
    <row r="10" spans="4:12" ht="75" x14ac:dyDescent="0.25">
      <c r="D10">
        <v>2005</v>
      </c>
      <c r="F10" s="1">
        <v>5526888.3899999997</v>
      </c>
      <c r="G10" t="s">
        <v>6</v>
      </c>
      <c r="H10" s="2" t="s">
        <v>27</v>
      </c>
      <c r="I10">
        <v>3320400</v>
      </c>
      <c r="K10" t="s">
        <v>33</v>
      </c>
      <c r="L10">
        <v>3762000</v>
      </c>
    </row>
    <row r="11" spans="4:12" ht="75" x14ac:dyDescent="0.25">
      <c r="D11">
        <v>2006</v>
      </c>
      <c r="E11" t="s">
        <v>0</v>
      </c>
      <c r="F11" s="1">
        <v>3266957.74</v>
      </c>
      <c r="G11" t="s">
        <v>6</v>
      </c>
      <c r="H11" s="2" t="s">
        <v>28</v>
      </c>
      <c r="I11">
        <v>3406330</v>
      </c>
      <c r="K11" t="s">
        <v>33</v>
      </c>
      <c r="L11">
        <v>3888000</v>
      </c>
    </row>
    <row r="12" spans="4:12" ht="75" x14ac:dyDescent="0.25">
      <c r="D12">
        <v>2007</v>
      </c>
      <c r="E12" t="s">
        <v>0</v>
      </c>
      <c r="F12" s="1">
        <v>3180268.21</v>
      </c>
      <c r="G12" t="s">
        <v>7</v>
      </c>
      <c r="H12" s="2" t="s">
        <v>29</v>
      </c>
      <c r="I12">
        <v>3494500</v>
      </c>
      <c r="J12" t="s">
        <v>31</v>
      </c>
    </row>
    <row r="13" spans="4:12" ht="75" x14ac:dyDescent="0.25">
      <c r="D13">
        <v>2008</v>
      </c>
      <c r="F13" s="1">
        <v>3542913.01</v>
      </c>
      <c r="G13" t="s">
        <v>8</v>
      </c>
      <c r="H13" s="2" t="s">
        <v>25</v>
      </c>
      <c r="I13">
        <v>3591980</v>
      </c>
      <c r="K13" t="s">
        <v>33</v>
      </c>
      <c r="L13">
        <v>3825000</v>
      </c>
    </row>
    <row r="14" spans="4:12" ht="75" x14ac:dyDescent="0.25">
      <c r="D14">
        <v>2009</v>
      </c>
      <c r="E14" t="s">
        <v>0</v>
      </c>
      <c r="F14" s="1">
        <v>3834666</v>
      </c>
      <c r="G14" t="s">
        <v>8</v>
      </c>
      <c r="H14" s="2" t="s">
        <v>24</v>
      </c>
      <c r="I14">
        <v>3689100</v>
      </c>
      <c r="K14" t="s">
        <v>33</v>
      </c>
      <c r="L14">
        <v>3936000</v>
      </c>
    </row>
    <row r="15" spans="4:12" ht="75" x14ac:dyDescent="0.25">
      <c r="D15">
        <v>2010</v>
      </c>
      <c r="E15" t="s">
        <v>0</v>
      </c>
      <c r="F15" s="1">
        <v>3842487</v>
      </c>
      <c r="G15" t="s">
        <v>8</v>
      </c>
      <c r="H15" s="2" t="s">
        <v>23</v>
      </c>
      <c r="I15">
        <v>3786160</v>
      </c>
      <c r="K15" t="s">
        <v>33</v>
      </c>
      <c r="L15">
        <v>4048000</v>
      </c>
    </row>
    <row r="16" spans="4:12" ht="75" x14ac:dyDescent="0.25">
      <c r="D16">
        <v>2011</v>
      </c>
      <c r="E16" t="s">
        <v>0</v>
      </c>
      <c r="F16" s="1">
        <v>4694400.01</v>
      </c>
      <c r="G16" t="s">
        <v>9</v>
      </c>
      <c r="H16" s="2" t="s">
        <v>22</v>
      </c>
      <c r="I16">
        <v>3882990</v>
      </c>
      <c r="K16" t="s">
        <v>33</v>
      </c>
      <c r="L16">
        <v>4169000</v>
      </c>
    </row>
    <row r="17" spans="4:12" ht="75" x14ac:dyDescent="0.25">
      <c r="D17">
        <v>2012</v>
      </c>
      <c r="F17" s="1">
        <v>4420212.7300000004</v>
      </c>
      <c r="G17" t="s">
        <v>9</v>
      </c>
      <c r="H17" s="2" t="s">
        <v>21</v>
      </c>
      <c r="I17">
        <v>3980000</v>
      </c>
      <c r="K17" t="s">
        <v>33</v>
      </c>
      <c r="L17">
        <v>4293000</v>
      </c>
    </row>
    <row r="18" spans="4:12" ht="75" x14ac:dyDescent="0.25">
      <c r="D18">
        <v>2013</v>
      </c>
      <c r="F18" s="1">
        <v>4223440</v>
      </c>
      <c r="G18" t="s">
        <v>9</v>
      </c>
      <c r="H18" s="2" t="s">
        <v>20</v>
      </c>
      <c r="I18">
        <v>4076710</v>
      </c>
      <c r="K18" t="s">
        <v>33</v>
      </c>
      <c r="L18">
        <v>4421000</v>
      </c>
    </row>
    <row r="19" spans="4:12" ht="75" x14ac:dyDescent="0.25">
      <c r="D19">
        <v>2014</v>
      </c>
      <c r="F19" s="1">
        <v>4029737.54</v>
      </c>
      <c r="G19" t="s">
        <v>9</v>
      </c>
      <c r="H19" s="2" t="s">
        <v>19</v>
      </c>
      <c r="I19">
        <v>4173400</v>
      </c>
      <c r="K19" t="s">
        <v>33</v>
      </c>
      <c r="L19">
        <v>4550000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032A-1C8D-43F5-92A5-27982DAAE72D}">
  <dimension ref="A1:O18"/>
  <sheetViews>
    <sheetView tabSelected="1" workbookViewId="0">
      <selection activeCell="P5" sqref="P5"/>
    </sheetView>
  </sheetViews>
  <sheetFormatPr defaultRowHeight="15" x14ac:dyDescent="0.25"/>
  <sheetData>
    <row r="1" spans="1:15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</row>
    <row r="2" spans="1:15" x14ac:dyDescent="0.25">
      <c r="A2" t="s">
        <v>49</v>
      </c>
      <c r="B2" t="s">
        <v>50</v>
      </c>
      <c r="C2">
        <v>1998</v>
      </c>
      <c r="D2">
        <v>2776568</v>
      </c>
      <c r="E2">
        <v>1809116</v>
      </c>
      <c r="F2">
        <v>0.18497630000000001</v>
      </c>
      <c r="G2">
        <v>0.1634583</v>
      </c>
      <c r="H2">
        <v>0.65156539999999996</v>
      </c>
      <c r="I2">
        <v>49.400419999999997</v>
      </c>
      <c r="J2">
        <v>18.306609999999999</v>
      </c>
      <c r="K2">
        <v>18.68412</v>
      </c>
      <c r="L2">
        <v>16.19669</v>
      </c>
      <c r="M2">
        <v>16.491430000000001</v>
      </c>
      <c r="N2">
        <v>0.4940042</v>
      </c>
      <c r="O2">
        <v>0.50599590000000005</v>
      </c>
    </row>
    <row r="3" spans="1:15" x14ac:dyDescent="0.25">
      <c r="A3" t="s">
        <v>49</v>
      </c>
      <c r="B3" t="s">
        <v>50</v>
      </c>
      <c r="C3">
        <v>1999</v>
      </c>
      <c r="D3">
        <v>2848431</v>
      </c>
      <c r="E3">
        <v>1867812</v>
      </c>
      <c r="F3">
        <v>0.1811855</v>
      </c>
      <c r="G3">
        <v>0.1630808</v>
      </c>
      <c r="H3">
        <v>0.65573369999999997</v>
      </c>
      <c r="I3">
        <v>49.434010000000001</v>
      </c>
      <c r="J3">
        <v>17.92765</v>
      </c>
      <c r="K3">
        <v>18.30517</v>
      </c>
      <c r="L3">
        <v>16.164750000000002</v>
      </c>
      <c r="M3">
        <v>16.4482</v>
      </c>
      <c r="N3">
        <v>0.4943401</v>
      </c>
      <c r="O3">
        <v>0.50565990000000005</v>
      </c>
    </row>
    <row r="4" spans="1:15" x14ac:dyDescent="0.25">
      <c r="A4" t="s">
        <v>49</v>
      </c>
      <c r="B4" t="s">
        <v>50</v>
      </c>
      <c r="C4">
        <v>2000</v>
      </c>
      <c r="D4">
        <v>2922153</v>
      </c>
      <c r="E4">
        <v>1929553</v>
      </c>
      <c r="F4">
        <v>0.1777782</v>
      </c>
      <c r="G4">
        <v>0.16190280000000001</v>
      </c>
      <c r="H4">
        <v>0.66031899999999999</v>
      </c>
      <c r="I4">
        <v>49.467410000000001</v>
      </c>
      <c r="J4">
        <v>17.583880000000001</v>
      </c>
      <c r="K4">
        <v>17.967669999999998</v>
      </c>
      <c r="L4">
        <v>16.049320000000002</v>
      </c>
      <c r="M4">
        <v>16.32827</v>
      </c>
      <c r="N4">
        <v>0.49467410000000001</v>
      </c>
      <c r="O4">
        <v>0.50532589999999999</v>
      </c>
    </row>
    <row r="5" spans="1:15" x14ac:dyDescent="0.25">
      <c r="A5" t="s">
        <v>49</v>
      </c>
      <c r="B5" t="s">
        <v>50</v>
      </c>
      <c r="C5">
        <v>2001</v>
      </c>
      <c r="D5">
        <v>2997784</v>
      </c>
      <c r="E5">
        <v>1994806</v>
      </c>
      <c r="F5">
        <v>0.17464299999999999</v>
      </c>
      <c r="G5">
        <v>0.15992990000000001</v>
      </c>
      <c r="H5">
        <v>0.66542699999999999</v>
      </c>
      <c r="I5">
        <v>49.529249999999998</v>
      </c>
      <c r="J5">
        <v>17.259820000000001</v>
      </c>
      <c r="K5">
        <v>17.66497</v>
      </c>
      <c r="L5">
        <v>15.8529</v>
      </c>
      <c r="M5">
        <v>16.130479999999999</v>
      </c>
      <c r="N5">
        <v>0.49529250000000002</v>
      </c>
      <c r="O5">
        <v>0.50470749999999998</v>
      </c>
    </row>
    <row r="6" spans="1:15" x14ac:dyDescent="0.25">
      <c r="A6" t="s">
        <v>49</v>
      </c>
      <c r="B6" t="s">
        <v>50</v>
      </c>
      <c r="C6">
        <v>2002</v>
      </c>
      <c r="D6">
        <v>3075373</v>
      </c>
      <c r="E6">
        <v>2064110</v>
      </c>
      <c r="F6">
        <v>0.17174220000000001</v>
      </c>
      <c r="G6">
        <v>0.1570838</v>
      </c>
      <c r="H6">
        <v>0.67117400000000005</v>
      </c>
      <c r="I6">
        <v>49.62659</v>
      </c>
      <c r="J6">
        <v>16.953330000000001</v>
      </c>
      <c r="K6">
        <v>17.391829999999999</v>
      </c>
      <c r="L6">
        <v>15.574249999999999</v>
      </c>
      <c r="M6">
        <v>15.84052</v>
      </c>
      <c r="N6">
        <v>0.49626589999999998</v>
      </c>
      <c r="O6">
        <v>0.50373409999999996</v>
      </c>
    </row>
    <row r="7" spans="1:15" x14ac:dyDescent="0.25">
      <c r="A7" t="s">
        <v>49</v>
      </c>
      <c r="B7" t="s">
        <v>50</v>
      </c>
      <c r="C7">
        <v>2003</v>
      </c>
      <c r="D7">
        <v>3154969</v>
      </c>
      <c r="E7">
        <v>2136586</v>
      </c>
      <c r="F7">
        <v>0.16891639999999999</v>
      </c>
      <c r="G7">
        <v>0.1538707</v>
      </c>
      <c r="H7">
        <v>0.67721279999999995</v>
      </c>
      <c r="I7">
        <v>49.732799999999997</v>
      </c>
      <c r="J7">
        <v>16.652450000000002</v>
      </c>
      <c r="K7">
        <v>17.128299999999999</v>
      </c>
      <c r="L7">
        <v>15.25963</v>
      </c>
      <c r="M7">
        <v>15.51315</v>
      </c>
      <c r="N7">
        <v>0.49732799999999999</v>
      </c>
      <c r="O7">
        <v>0.50267200000000001</v>
      </c>
    </row>
    <row r="8" spans="1:15" x14ac:dyDescent="0.25">
      <c r="A8" t="s">
        <v>49</v>
      </c>
      <c r="B8" t="s">
        <v>50</v>
      </c>
      <c r="C8">
        <v>2004</v>
      </c>
      <c r="D8">
        <v>3236626</v>
      </c>
      <c r="E8">
        <v>2210648</v>
      </c>
      <c r="F8">
        <v>0.1660614</v>
      </c>
      <c r="G8">
        <v>0.1509287</v>
      </c>
      <c r="H8">
        <v>0.68300989999999995</v>
      </c>
      <c r="I8">
        <v>49.834409999999998</v>
      </c>
      <c r="J8">
        <v>16.347760000000001</v>
      </c>
      <c r="K8">
        <v>16.862829999999999</v>
      </c>
      <c r="L8">
        <v>14.96564</v>
      </c>
      <c r="M8">
        <v>15.21926</v>
      </c>
      <c r="N8">
        <v>0.49834410000000001</v>
      </c>
      <c r="O8">
        <v>0.50165590000000004</v>
      </c>
    </row>
    <row r="9" spans="1:15" x14ac:dyDescent="0.25">
      <c r="A9" t="s">
        <v>49</v>
      </c>
      <c r="B9" t="s">
        <v>50</v>
      </c>
      <c r="C9">
        <v>2005</v>
      </c>
      <c r="D9">
        <v>3320396</v>
      </c>
      <c r="E9">
        <v>2285516</v>
      </c>
      <c r="F9">
        <v>0.163519</v>
      </c>
      <c r="G9">
        <v>0.1481547</v>
      </c>
      <c r="H9">
        <v>0.6883264</v>
      </c>
      <c r="I9">
        <v>49.916640000000001</v>
      </c>
      <c r="J9">
        <v>16.07619</v>
      </c>
      <c r="K9">
        <v>16.62669</v>
      </c>
      <c r="L9">
        <v>14.684760000000001</v>
      </c>
      <c r="M9">
        <v>14.945729999999999</v>
      </c>
      <c r="N9">
        <v>0.49916640000000001</v>
      </c>
      <c r="O9">
        <v>0.50083359999999999</v>
      </c>
    </row>
    <row r="10" spans="1:15" x14ac:dyDescent="0.25">
      <c r="A10" t="s">
        <v>49</v>
      </c>
      <c r="B10" t="s">
        <v>50</v>
      </c>
      <c r="C10">
        <v>2006</v>
      </c>
      <c r="D10">
        <v>3406334</v>
      </c>
      <c r="E10">
        <v>2361057</v>
      </c>
      <c r="F10">
        <v>0.16128709999999999</v>
      </c>
      <c r="G10">
        <v>0.1455756</v>
      </c>
      <c r="H10">
        <v>0.69313729999999996</v>
      </c>
      <c r="I10">
        <v>49.979480000000002</v>
      </c>
      <c r="J10">
        <v>15.836449999999999</v>
      </c>
      <c r="K10">
        <v>16.420729999999999</v>
      </c>
      <c r="L10">
        <v>14.419890000000001</v>
      </c>
      <c r="M10">
        <v>14.695119999999999</v>
      </c>
      <c r="N10">
        <v>0.49979479999999998</v>
      </c>
      <c r="O10">
        <v>0.50020520000000002</v>
      </c>
    </row>
    <row r="11" spans="1:15" x14ac:dyDescent="0.25">
      <c r="A11" t="s">
        <v>49</v>
      </c>
      <c r="B11" t="s">
        <v>50</v>
      </c>
      <c r="C11">
        <v>2007</v>
      </c>
      <c r="D11">
        <v>3494496</v>
      </c>
      <c r="E11">
        <v>2437125</v>
      </c>
      <c r="F11">
        <v>0.15905040000000001</v>
      </c>
      <c r="G11">
        <v>0.1435314</v>
      </c>
      <c r="H11">
        <v>0.69741819999999999</v>
      </c>
      <c r="I11">
        <v>50.030009999999997</v>
      </c>
      <c r="J11">
        <v>15.59613</v>
      </c>
      <c r="K11">
        <v>16.214320000000001</v>
      </c>
      <c r="L11">
        <v>14.202870000000001</v>
      </c>
      <c r="M11">
        <v>14.503590000000001</v>
      </c>
      <c r="N11">
        <v>0.50030019999999997</v>
      </c>
      <c r="O11">
        <v>0.49969980000000003</v>
      </c>
    </row>
    <row r="12" spans="1:15" x14ac:dyDescent="0.25">
      <c r="A12" t="s">
        <v>49</v>
      </c>
      <c r="B12" t="s">
        <v>50</v>
      </c>
      <c r="C12">
        <v>2008</v>
      </c>
      <c r="D12">
        <v>3591977</v>
      </c>
      <c r="E12">
        <v>2518345</v>
      </c>
      <c r="F12">
        <v>0.1572105</v>
      </c>
      <c r="G12">
        <v>0.1416868</v>
      </c>
      <c r="H12">
        <v>0.70110269999999997</v>
      </c>
      <c r="I12">
        <v>50.075710000000001</v>
      </c>
      <c r="J12">
        <v>15.40652</v>
      </c>
      <c r="K12">
        <v>16.036539999999999</v>
      </c>
      <c r="L12">
        <v>14.009980000000001</v>
      </c>
      <c r="M12">
        <v>14.327859999999999</v>
      </c>
      <c r="N12">
        <v>0.50075709999999996</v>
      </c>
      <c r="O12">
        <v>0.49924289999999999</v>
      </c>
    </row>
    <row r="13" spans="1:15" x14ac:dyDescent="0.25">
      <c r="A13" t="s">
        <v>49</v>
      </c>
      <c r="B13" t="s">
        <v>50</v>
      </c>
      <c r="C13">
        <v>2009</v>
      </c>
      <c r="D13">
        <v>3689099</v>
      </c>
      <c r="E13">
        <v>2598051</v>
      </c>
      <c r="F13">
        <v>0.1559702</v>
      </c>
      <c r="G13">
        <v>0.13977890000000001</v>
      </c>
      <c r="H13">
        <v>0.70425090000000001</v>
      </c>
      <c r="I13">
        <v>50.123869999999997</v>
      </c>
      <c r="J13">
        <v>15.284990000000001</v>
      </c>
      <c r="K13">
        <v>15.910600000000001</v>
      </c>
      <c r="L13">
        <v>13.819570000000001</v>
      </c>
      <c r="M13">
        <v>14.137</v>
      </c>
      <c r="N13">
        <v>0.50123879999999998</v>
      </c>
      <c r="O13">
        <v>0.49876120000000002</v>
      </c>
    </row>
    <row r="14" spans="1:15" x14ac:dyDescent="0.25">
      <c r="A14" t="s">
        <v>49</v>
      </c>
      <c r="B14" t="s">
        <v>50</v>
      </c>
      <c r="C14">
        <v>2010</v>
      </c>
      <c r="D14">
        <v>3786161</v>
      </c>
      <c r="E14">
        <v>2675456</v>
      </c>
      <c r="F14">
        <v>0.1552394</v>
      </c>
      <c r="G14">
        <v>0.13811970000000001</v>
      </c>
      <c r="H14">
        <v>0.70664099999999996</v>
      </c>
      <c r="I14">
        <v>50.169969999999999</v>
      </c>
      <c r="J14">
        <v>15.209009999999999</v>
      </c>
      <c r="K14">
        <v>15.841010000000001</v>
      </c>
      <c r="L14">
        <v>13.65814</v>
      </c>
      <c r="M14">
        <v>13.966839999999999</v>
      </c>
      <c r="N14">
        <v>0.50169969999999997</v>
      </c>
      <c r="O14">
        <v>0.49830029999999997</v>
      </c>
    </row>
    <row r="15" spans="1:15" x14ac:dyDescent="0.25">
      <c r="A15" t="s">
        <v>49</v>
      </c>
      <c r="B15" t="s">
        <v>50</v>
      </c>
      <c r="C15">
        <v>2011</v>
      </c>
      <c r="D15">
        <v>3882986</v>
      </c>
      <c r="E15">
        <v>2750853</v>
      </c>
      <c r="F15">
        <v>0.15488109999999999</v>
      </c>
      <c r="G15">
        <v>0.13668140000000001</v>
      </c>
      <c r="H15">
        <v>0.70843739999999999</v>
      </c>
      <c r="I15">
        <v>50.212290000000003</v>
      </c>
      <c r="J15">
        <v>15.16438</v>
      </c>
      <c r="K15">
        <v>15.81461</v>
      </c>
      <c r="L15">
        <v>13.521100000000001</v>
      </c>
      <c r="M15">
        <v>13.81643</v>
      </c>
      <c r="N15">
        <v>0.50212290000000004</v>
      </c>
      <c r="O15">
        <v>0.49787710000000002</v>
      </c>
    </row>
    <row r="16" spans="1:15" x14ac:dyDescent="0.25">
      <c r="A16" t="s">
        <v>49</v>
      </c>
      <c r="B16" t="s">
        <v>50</v>
      </c>
      <c r="C16">
        <v>2012</v>
      </c>
      <c r="D16">
        <v>3979998</v>
      </c>
      <c r="E16">
        <v>2826837</v>
      </c>
      <c r="F16">
        <v>0.1544681</v>
      </c>
      <c r="G16">
        <v>0.135271</v>
      </c>
      <c r="H16">
        <v>0.71026089999999997</v>
      </c>
      <c r="I16">
        <v>50.254330000000003</v>
      </c>
      <c r="J16">
        <v>15.109870000000001</v>
      </c>
      <c r="K16">
        <v>15.7872</v>
      </c>
      <c r="L16">
        <v>13.38758</v>
      </c>
      <c r="M16">
        <v>13.66804</v>
      </c>
      <c r="N16">
        <v>0.50254330000000003</v>
      </c>
      <c r="O16">
        <v>0.49745669999999997</v>
      </c>
    </row>
    <row r="17" spans="1:15" x14ac:dyDescent="0.25">
      <c r="A17" t="s">
        <v>49</v>
      </c>
      <c r="B17" t="s">
        <v>50</v>
      </c>
      <c r="C17">
        <v>2013</v>
      </c>
      <c r="D17">
        <v>4076708</v>
      </c>
      <c r="E17">
        <v>2903080</v>
      </c>
      <c r="F17">
        <v>0.15387010000000001</v>
      </c>
      <c r="G17">
        <v>0.134016</v>
      </c>
      <c r="H17">
        <v>0.71211389999999997</v>
      </c>
      <c r="I17">
        <v>50.294899999999998</v>
      </c>
      <c r="J17">
        <v>15.03472</v>
      </c>
      <c r="K17">
        <v>15.74347</v>
      </c>
      <c r="L17">
        <v>13.26918</v>
      </c>
      <c r="M17">
        <v>13.535589999999999</v>
      </c>
      <c r="N17">
        <v>0.50294890000000003</v>
      </c>
      <c r="O17">
        <v>0.49705110000000002</v>
      </c>
    </row>
    <row r="18" spans="1:15" x14ac:dyDescent="0.25">
      <c r="A18" t="s">
        <v>49</v>
      </c>
      <c r="B18" t="s">
        <v>50</v>
      </c>
      <c r="C18">
        <v>2014</v>
      </c>
      <c r="D18">
        <v>4173398</v>
      </c>
      <c r="E18">
        <v>2979258</v>
      </c>
      <c r="F18">
        <v>0.153032</v>
      </c>
      <c r="G18">
        <v>0.1330992</v>
      </c>
      <c r="H18">
        <v>0.71386879999999997</v>
      </c>
      <c r="I18">
        <v>50.339680000000001</v>
      </c>
      <c r="J18">
        <v>14.934340000000001</v>
      </c>
      <c r="K18">
        <v>15.677099999999999</v>
      </c>
      <c r="L18">
        <v>13.179449999999999</v>
      </c>
      <c r="M18">
        <v>13.44218</v>
      </c>
      <c r="N18">
        <v>0.50339679999999998</v>
      </c>
      <c r="O18">
        <v>0.49660320000000002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881B-579F-4177-ABE6-5029EE8CC8BE}">
  <dimension ref="C1:T17"/>
  <sheetViews>
    <sheetView workbookViewId="0">
      <selection activeCell="F16" sqref="F16"/>
    </sheetView>
  </sheetViews>
  <sheetFormatPr defaultRowHeight="15" x14ac:dyDescent="0.25"/>
  <cols>
    <col min="3" max="3" width="14.42578125" bestFit="1" customWidth="1"/>
    <col min="4" max="5" width="14.28515625" bestFit="1" customWidth="1"/>
    <col min="6" max="6" width="12.5703125" bestFit="1" customWidth="1"/>
  </cols>
  <sheetData>
    <row r="1" spans="3:20" x14ac:dyDescent="0.25">
      <c r="C1" t="s">
        <v>56</v>
      </c>
    </row>
    <row r="2" spans="3:20" x14ac:dyDescent="0.25">
      <c r="C2" s="4" t="s">
        <v>55</v>
      </c>
      <c r="D2">
        <v>1998</v>
      </c>
      <c r="E2">
        <v>1999</v>
      </c>
      <c r="F2">
        <v>2000</v>
      </c>
      <c r="G2">
        <v>2001</v>
      </c>
      <c r="H2">
        <v>2002</v>
      </c>
      <c r="I2">
        <v>2003</v>
      </c>
      <c r="J2">
        <v>2004</v>
      </c>
      <c r="K2">
        <v>2005</v>
      </c>
      <c r="L2">
        <v>2006</v>
      </c>
      <c r="M2">
        <v>2007</v>
      </c>
      <c r="N2">
        <v>2008</v>
      </c>
      <c r="O2">
        <v>2009</v>
      </c>
      <c r="P2">
        <v>2010</v>
      </c>
      <c r="Q2">
        <v>2011</v>
      </c>
      <c r="R2">
        <v>2012</v>
      </c>
      <c r="S2">
        <v>2013</v>
      </c>
      <c r="T2">
        <v>2014</v>
      </c>
    </row>
    <row r="3" spans="3:20" x14ac:dyDescent="0.25">
      <c r="C3" t="s">
        <v>51</v>
      </c>
      <c r="D3">
        <v>79.099999999999994</v>
      </c>
      <c r="E3" s="5">
        <f>552000</f>
        <v>552000</v>
      </c>
      <c r="F3">
        <v>80.900000000000006</v>
      </c>
    </row>
    <row r="4" spans="3:20" x14ac:dyDescent="0.25">
      <c r="C4" t="s">
        <v>52</v>
      </c>
      <c r="D4">
        <f>100-D3</f>
        <v>20.900000000000006</v>
      </c>
      <c r="E4" s="5">
        <f>79000</f>
        <v>79000</v>
      </c>
      <c r="F4">
        <v>14.1</v>
      </c>
    </row>
    <row r="5" spans="3:20" x14ac:dyDescent="0.25">
      <c r="C5" t="s">
        <v>57</v>
      </c>
      <c r="E5" s="5">
        <v>36000</v>
      </c>
      <c r="F5">
        <v>5</v>
      </c>
    </row>
    <row r="6" spans="3:20" x14ac:dyDescent="0.25">
      <c r="C6" t="s">
        <v>53</v>
      </c>
      <c r="D6">
        <v>41.4</v>
      </c>
      <c r="E6" s="5">
        <v>667000</v>
      </c>
      <c r="F6">
        <v>41.5</v>
      </c>
    </row>
    <row r="7" spans="3:20" x14ac:dyDescent="0.25">
      <c r="C7" t="s">
        <v>54</v>
      </c>
      <c r="D7">
        <v>58.6</v>
      </c>
      <c r="E7" s="5">
        <f>937000</f>
        <v>937000</v>
      </c>
      <c r="F7">
        <v>58.5</v>
      </c>
    </row>
    <row r="8" spans="3:20" x14ac:dyDescent="0.25">
      <c r="E8" s="5"/>
    </row>
    <row r="9" spans="3:20" x14ac:dyDescent="0.25">
      <c r="C9" t="s">
        <v>58</v>
      </c>
      <c r="E9" s="5"/>
    </row>
    <row r="10" spans="3:20" x14ac:dyDescent="0.25">
      <c r="C10" t="s">
        <v>51</v>
      </c>
      <c r="D10" s="5">
        <v>633742</v>
      </c>
      <c r="E10" s="5">
        <v>686228.18</v>
      </c>
      <c r="F10" s="5">
        <v>541389</v>
      </c>
    </row>
    <row r="11" spans="3:20" x14ac:dyDescent="0.25">
      <c r="C11" t="s">
        <v>52</v>
      </c>
      <c r="D11" s="5">
        <v>90648</v>
      </c>
      <c r="E11" s="5">
        <v>78573.904999999999</v>
      </c>
      <c r="F11" s="5">
        <v>66296.402000000002</v>
      </c>
    </row>
    <row r="12" spans="3:20" x14ac:dyDescent="0.25">
      <c r="C12" t="s">
        <v>57</v>
      </c>
      <c r="D12" s="5"/>
      <c r="E12" s="5"/>
      <c r="F12" s="5"/>
    </row>
    <row r="13" spans="3:20" x14ac:dyDescent="0.25">
      <c r="C13" t="s">
        <v>53</v>
      </c>
      <c r="D13" s="5">
        <f>D10+D11</f>
        <v>724390</v>
      </c>
      <c r="E13" s="5">
        <f>E10+E11</f>
        <v>764802.08500000008</v>
      </c>
      <c r="F13" s="5">
        <f>F10+F11</f>
        <v>607685.402</v>
      </c>
    </row>
    <row r="14" spans="3:20" x14ac:dyDescent="0.25">
      <c r="C14" t="s">
        <v>54</v>
      </c>
      <c r="D14" s="5">
        <v>1084726</v>
      </c>
      <c r="E14" s="5">
        <v>1103010</v>
      </c>
      <c r="F14" s="5">
        <v>897149.46</v>
      </c>
    </row>
    <row r="16" spans="3:20" x14ac:dyDescent="0.25">
      <c r="C16" t="s">
        <v>59</v>
      </c>
      <c r="E16">
        <f>E10/(E10+E14)</f>
        <v>0.38353092823002466</v>
      </c>
    </row>
    <row r="17" spans="3:5" x14ac:dyDescent="0.25">
      <c r="C17" t="s">
        <v>60</v>
      </c>
      <c r="E17">
        <f>E3/(E3+E7)</f>
        <v>0.3707186030893217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D8A6-4C4E-4BA8-9ADD-CF7B5031043D}">
  <dimension ref="A1"/>
  <sheetViews>
    <sheetView workbookViewId="0">
      <selection activeCell="E11" sqref="E1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householdsheads</vt:lpstr>
      <vt:lpstr>wages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Los Milagros Quinones Nunura</dc:creator>
  <cp:lastModifiedBy>Alexandra De Los Milagros Quinones Nunura</cp:lastModifiedBy>
  <dcterms:created xsi:type="dcterms:W3CDTF">2025-11-11T09:21:47Z</dcterms:created>
  <dcterms:modified xsi:type="dcterms:W3CDTF">2025-12-09T11:42:06Z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9608d83-f952-409d-b7c5-456515bbbf5a_Enabled">
    <vt:lpwstr>true</vt:lpwstr>
  </property>
  <property fmtid="{D5CDD505-2E9C-101B-9397-08002B2CF9AE}" pid="3" name="MSIP_Label_89608d83-f952-409d-b7c5-456515bbbf5a_SetDate">
    <vt:lpwstr>2025-12-09T11:42:01Z</vt:lpwstr>
  </property>
  <property fmtid="{D5CDD505-2E9C-101B-9397-08002B2CF9AE}" pid="4" name="MSIP_Label_89608d83-f952-409d-b7c5-456515bbbf5a_Method">
    <vt:lpwstr>Privileged</vt:lpwstr>
  </property>
  <property fmtid="{D5CDD505-2E9C-101B-9397-08002B2CF9AE}" pid="5" name="MSIP_Label_89608d83-f952-409d-b7c5-456515bbbf5a_Name">
    <vt:lpwstr>Public</vt:lpwstr>
  </property>
  <property fmtid="{D5CDD505-2E9C-101B-9397-08002B2CF9AE}" pid="6" name="MSIP_Label_89608d83-f952-409d-b7c5-456515bbbf5a_SiteId">
    <vt:lpwstr>31a2fec0-266b-4c67-b56e-2796d8f59c36</vt:lpwstr>
  </property>
  <property fmtid="{D5CDD505-2E9C-101B-9397-08002B2CF9AE}" pid="7" name="MSIP_Label_89608d83-f952-409d-b7c5-456515bbbf5a_ActionId">
    <vt:lpwstr>05ae4aa5-ebc3-49cf-be91-a22fed602779</vt:lpwstr>
  </property>
  <property fmtid="{D5CDD505-2E9C-101B-9397-08002B2CF9AE}" pid="8" name="MSIP_Label_89608d83-f952-409d-b7c5-456515bbbf5a_ContentBits">
    <vt:lpwstr>0</vt:lpwstr>
  </property>
  <property fmtid="{D5CDD505-2E9C-101B-9397-08002B2CF9AE}" pid="9" name="MSIP_Label_89608d83-f952-409d-b7c5-456515bbbf5a_Tag">
    <vt:lpwstr>10, 0, 1, 1</vt:lpwstr>
  </property>
</Properties>
</file>