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b582018\Downloads\"/>
    </mc:Choice>
  </mc:AlternateContent>
  <xr:revisionPtr revIDLastSave="0" documentId="13_ncr:1_{C017F21D-D494-4B7B-9A2E-D1799A7D0A0F}" xr6:coauthVersionLast="47" xr6:coauthVersionMax="47" xr10:uidLastSave="{00000000-0000-0000-0000-000000000000}"/>
  <bookViews>
    <workbookView xWindow="10" yWindow="420" windowWidth="15590" windowHeight="9660" xr2:uid="{2263846E-A2B0-481E-951F-2B78784C15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3" i="1" l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D23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D19" i="1"/>
  <c r="AC14" i="1"/>
  <c r="AC18" i="1" s="1"/>
  <c r="AB14" i="1"/>
  <c r="AB22" i="1" s="1"/>
  <c r="AA14" i="1"/>
  <c r="AA22" i="1" s="1"/>
  <c r="Z14" i="1"/>
  <c r="Z22" i="1" s="1"/>
  <c r="Y14" i="1"/>
  <c r="Y22" i="1" s="1"/>
  <c r="X14" i="1"/>
  <c r="X22" i="1" s="1"/>
  <c r="W14" i="1"/>
  <c r="W22" i="1" s="1"/>
  <c r="V14" i="1"/>
  <c r="V18" i="1" s="1"/>
  <c r="U14" i="1"/>
  <c r="U18" i="1" s="1"/>
  <c r="T14" i="1"/>
  <c r="T22" i="1" s="1"/>
  <c r="S14" i="1"/>
  <c r="S22" i="1" s="1"/>
  <c r="R14" i="1"/>
  <c r="R22" i="1" s="1"/>
  <c r="Q14" i="1"/>
  <c r="Q22" i="1" s="1"/>
  <c r="P14" i="1"/>
  <c r="P22" i="1" s="1"/>
  <c r="O14" i="1"/>
  <c r="O22" i="1" s="1"/>
  <c r="N14" i="1"/>
  <c r="N18" i="1" s="1"/>
  <c r="M14" i="1"/>
  <c r="M18" i="1" s="1"/>
  <c r="L14" i="1"/>
  <c r="L22" i="1" s="1"/>
  <c r="K14" i="1"/>
  <c r="K22" i="1" s="1"/>
  <c r="J14" i="1"/>
  <c r="J22" i="1" s="1"/>
  <c r="I14" i="1"/>
  <c r="I22" i="1" s="1"/>
  <c r="H14" i="1"/>
  <c r="H22" i="1" s="1"/>
  <c r="G14" i="1"/>
  <c r="G22" i="1" s="1"/>
  <c r="F14" i="1"/>
  <c r="F18" i="1" s="1"/>
  <c r="E14" i="1"/>
  <c r="E18" i="1" s="1"/>
  <c r="D14" i="1"/>
  <c r="D22" i="1" s="1"/>
  <c r="E7" i="1"/>
  <c r="E4" i="1"/>
  <c r="E3" i="1"/>
  <c r="I18" i="1" l="1"/>
  <c r="F22" i="1"/>
  <c r="E19" i="1"/>
  <c r="M22" i="1"/>
  <c r="O18" i="1"/>
  <c r="D18" i="1"/>
  <c r="E23" i="1"/>
  <c r="N22" i="1"/>
  <c r="Q18" i="1"/>
  <c r="W18" i="1"/>
  <c r="U22" i="1"/>
  <c r="G18" i="1"/>
  <c r="Y18" i="1"/>
  <c r="V22" i="1"/>
  <c r="P18" i="1"/>
  <c r="X18" i="1"/>
  <c r="H18" i="1"/>
  <c r="E22" i="1"/>
  <c r="AC22" i="1"/>
  <c r="R18" i="1"/>
  <c r="K18" i="1"/>
  <c r="S18" i="1"/>
  <c r="AA18" i="1"/>
  <c r="T18" i="1"/>
  <c r="AB18" i="1"/>
  <c r="J18" i="1"/>
  <c r="Z18" i="1"/>
  <c r="L18" i="1"/>
</calcChain>
</file>

<file path=xl/sharedStrings.xml><?xml version="1.0" encoding="utf-8"?>
<sst xmlns="http://schemas.openxmlformats.org/spreadsheetml/2006/main" count="26" uniqueCount="13">
  <si>
    <t>PCSB reports</t>
  </si>
  <si>
    <t>Employment</t>
  </si>
  <si>
    <t>-</t>
  </si>
  <si>
    <t>Unemployment</t>
  </si>
  <si>
    <t>In LF</t>
  </si>
  <si>
    <t>Out LF</t>
  </si>
  <si>
    <t>GLD Estimations</t>
  </si>
  <si>
    <t>ratio GLD</t>
  </si>
  <si>
    <t>ratio PS NSO</t>
  </si>
  <si>
    <t>Population 15+</t>
  </si>
  <si>
    <t>Underemployment</t>
  </si>
  <si>
    <t>Employment / WAP</t>
  </si>
  <si>
    <t>Employment / Labor Force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</si>
</sst>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0" fillId="0" borderId="0" xfId="0" applyAlignment="1">
      <alignment horizontal="center"/>
    </xf>
    <xf numFmtId="4" fontId="0" fillId="0" borderId="0" xfId="0" applyNumberFormat="1"/>
    <xf numFmtId="10" fontId="0" fillId="0" borderId="0" xfId="2" applyNumberFormat="1" applyFont="1"/>
    <xf numFmtId="0" fontId="0" fillId="2" borderId="0" xfId="0" applyFill="1"/>
    <xf numFmtId="0" fontId="2" fillId="2" borderId="0" xfId="0" applyFont="1" applyFill="1"/>
    <xf numFmtId="164" fontId="2" fillId="2" borderId="0" xfId="1" applyNumberFormat="1" applyFont="1" applyFill="1"/>
    <xf numFmtId="0" fontId="0" fillId="0" borderId="1" xfId="0" applyBorder="1"/>
    <xf numFmtId="0" fontId="2" fillId="0" borderId="1" xfId="0" applyFont="1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0FDD0-8DA6-4A2C-9144-EAAD5873D07B}">
  <dimension ref="C1:AC23"/>
  <sheetViews>
    <sheetView tabSelected="1" workbookViewId="0">
      <selection activeCell="C24" sqref="C24"/>
    </sheetView>
  </sheetViews>
  <sheetFormatPr defaultRowHeight="14.5" x14ac:dyDescent="0.35"/>
  <cols>
    <col min="3" max="3" width="17.453125" bestFit="1" customWidth="1"/>
    <col min="4" max="4" width="14.26953125" bestFit="1" customWidth="1"/>
    <col min="5" max="5" width="14.7265625" bestFit="1" customWidth="1"/>
    <col min="6" max="6" width="14" bestFit="1" customWidth="1"/>
    <col min="7" max="20" width="15.54296875" bestFit="1" customWidth="1"/>
    <col min="21" max="24" width="11.7265625" bestFit="1" customWidth="1"/>
    <col min="25" max="25" width="13.453125" bestFit="1" customWidth="1"/>
    <col min="26" max="27" width="11.7265625" bestFit="1" customWidth="1"/>
    <col min="28" max="29" width="10.7265625" bestFit="1" customWidth="1"/>
  </cols>
  <sheetData>
    <row r="1" spans="3:29" x14ac:dyDescent="0.35">
      <c r="C1" s="7" t="s">
        <v>9</v>
      </c>
      <c r="D1" s="7" t="s">
        <v>0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3:29" x14ac:dyDescent="0.35">
      <c r="C2" s="9"/>
      <c r="D2" s="10">
        <v>1998</v>
      </c>
      <c r="E2" s="10">
        <v>1999</v>
      </c>
      <c r="F2" s="10">
        <v>2000</v>
      </c>
      <c r="G2" s="10">
        <v>2001</v>
      </c>
      <c r="H2" s="10">
        <v>2002</v>
      </c>
      <c r="I2" s="10">
        <v>2003</v>
      </c>
      <c r="J2" s="10">
        <v>2004</v>
      </c>
      <c r="K2" s="10">
        <v>2005</v>
      </c>
      <c r="L2" s="10">
        <v>2006</v>
      </c>
      <c r="M2" s="10">
        <v>2007</v>
      </c>
      <c r="N2" s="10">
        <v>2008</v>
      </c>
      <c r="O2" s="10">
        <v>2009</v>
      </c>
      <c r="P2" s="10">
        <v>2010</v>
      </c>
      <c r="Q2" s="10">
        <v>2011</v>
      </c>
      <c r="R2" s="10">
        <v>2012</v>
      </c>
      <c r="S2" s="10">
        <v>2013</v>
      </c>
      <c r="T2" s="10">
        <v>2014</v>
      </c>
      <c r="U2" s="10">
        <v>2015</v>
      </c>
      <c r="V2" s="10">
        <v>2016</v>
      </c>
      <c r="W2" s="10">
        <v>2017</v>
      </c>
      <c r="X2" s="10">
        <v>2018</v>
      </c>
      <c r="Y2" s="10">
        <v>2019</v>
      </c>
      <c r="Z2" s="10">
        <v>2020</v>
      </c>
      <c r="AA2" s="10">
        <v>2021</v>
      </c>
      <c r="AB2" s="10">
        <v>2022</v>
      </c>
      <c r="AC2" s="10">
        <v>2023</v>
      </c>
    </row>
    <row r="3" spans="3:29" x14ac:dyDescent="0.35">
      <c r="C3" t="s">
        <v>1</v>
      </c>
      <c r="D3" s="1">
        <v>507000</v>
      </c>
      <c r="E3" s="1">
        <f>552000</f>
        <v>552000</v>
      </c>
      <c r="F3" s="1">
        <v>537000</v>
      </c>
      <c r="G3" s="1">
        <v>454000</v>
      </c>
      <c r="H3" s="1">
        <v>423000</v>
      </c>
      <c r="I3" s="1">
        <v>492000</v>
      </c>
      <c r="J3" s="1">
        <v>503000</v>
      </c>
      <c r="K3" s="1">
        <v>551000</v>
      </c>
      <c r="L3" s="1">
        <v>569000</v>
      </c>
      <c r="M3" s="1">
        <v>620000</v>
      </c>
      <c r="N3" s="1">
        <v>604000</v>
      </c>
      <c r="O3" s="1">
        <v>661000</v>
      </c>
      <c r="P3" s="1">
        <v>675000</v>
      </c>
      <c r="Q3" s="1">
        <v>755000</v>
      </c>
      <c r="R3" s="1">
        <v>781000</v>
      </c>
      <c r="S3" s="1">
        <v>815000</v>
      </c>
      <c r="T3" s="1">
        <v>836000</v>
      </c>
      <c r="U3" s="1">
        <v>929000</v>
      </c>
      <c r="V3" s="1">
        <v>939000</v>
      </c>
      <c r="W3" s="1">
        <v>949000</v>
      </c>
      <c r="X3" s="1">
        <v>956000</v>
      </c>
      <c r="Y3" s="1">
        <v>1013000</v>
      </c>
      <c r="Z3" s="1">
        <v>956000</v>
      </c>
      <c r="AA3" s="2">
        <v>1036000</v>
      </c>
      <c r="AB3" s="2">
        <v>1136000</v>
      </c>
      <c r="AC3" s="3" t="s">
        <v>2</v>
      </c>
    </row>
    <row r="4" spans="3:29" x14ac:dyDescent="0.35">
      <c r="C4" t="s">
        <v>3</v>
      </c>
      <c r="D4" s="1">
        <v>91000</v>
      </c>
      <c r="E4" s="1">
        <f>79000</f>
        <v>79000</v>
      </c>
      <c r="F4" s="1">
        <v>95000</v>
      </c>
      <c r="G4" s="1">
        <v>162000</v>
      </c>
      <c r="H4" s="1">
        <v>205000</v>
      </c>
      <c r="I4" s="1">
        <v>185000</v>
      </c>
      <c r="J4" s="1">
        <v>201000</v>
      </c>
      <c r="K4" s="1">
        <v>186000</v>
      </c>
      <c r="L4" s="1">
        <v>198000</v>
      </c>
      <c r="M4" s="1">
        <v>192000</v>
      </c>
      <c r="N4" s="1">
        <v>241000</v>
      </c>
      <c r="O4" s="1">
        <v>233000</v>
      </c>
      <c r="P4" s="1">
        <v>232000</v>
      </c>
      <c r="Q4" s="1">
        <v>222000</v>
      </c>
      <c r="R4" s="1">
        <v>256000</v>
      </c>
      <c r="S4" s="1">
        <v>270000</v>
      </c>
      <c r="T4" s="1">
        <v>338000</v>
      </c>
      <c r="U4" s="1">
        <v>277000</v>
      </c>
      <c r="V4" s="1">
        <v>296000</v>
      </c>
      <c r="W4" s="1">
        <v>327000</v>
      </c>
      <c r="X4" s="1">
        <v>340000</v>
      </c>
      <c r="Y4" s="1">
        <v>344000</v>
      </c>
      <c r="Z4" s="1">
        <v>335000</v>
      </c>
      <c r="AA4" s="1">
        <v>372000</v>
      </c>
      <c r="AB4">
        <v>367000</v>
      </c>
      <c r="AC4" s="3" t="s">
        <v>2</v>
      </c>
    </row>
    <row r="5" spans="3:29" x14ac:dyDescent="0.35">
      <c r="C5" t="s">
        <v>10</v>
      </c>
      <c r="D5" s="1">
        <v>42000</v>
      </c>
      <c r="E5" s="1">
        <v>36000</v>
      </c>
      <c r="F5" s="1">
        <v>35000</v>
      </c>
      <c r="G5" s="1">
        <v>26000</v>
      </c>
      <c r="H5" s="1">
        <v>29000</v>
      </c>
      <c r="I5" s="1">
        <v>45000</v>
      </c>
      <c r="J5" s="1">
        <v>48000</v>
      </c>
      <c r="K5" s="1">
        <v>52000</v>
      </c>
      <c r="L5" s="1">
        <v>67000</v>
      </c>
      <c r="M5" s="1">
        <v>70000</v>
      </c>
      <c r="N5" s="1">
        <v>63000</v>
      </c>
      <c r="O5" s="1">
        <v>57000</v>
      </c>
      <c r="P5" s="1">
        <v>69000</v>
      </c>
      <c r="Q5" s="1">
        <v>82000</v>
      </c>
      <c r="R5" s="1">
        <v>77000</v>
      </c>
      <c r="S5" s="1">
        <v>70000</v>
      </c>
      <c r="T5" s="1">
        <v>81000</v>
      </c>
      <c r="AC5" s="3"/>
    </row>
    <row r="6" spans="3:29" x14ac:dyDescent="0.35">
      <c r="C6" t="s">
        <v>4</v>
      </c>
      <c r="D6" s="1">
        <v>640000</v>
      </c>
      <c r="E6" s="1">
        <v>667000</v>
      </c>
      <c r="F6" s="1">
        <v>667000</v>
      </c>
      <c r="G6" s="1">
        <v>642000</v>
      </c>
      <c r="H6" s="1">
        <v>657000</v>
      </c>
      <c r="I6" s="1">
        <v>722000</v>
      </c>
      <c r="J6" s="1">
        <v>752000</v>
      </c>
      <c r="K6" s="1">
        <v>789000</v>
      </c>
      <c r="L6" s="1">
        <v>834000</v>
      </c>
      <c r="M6" s="1">
        <v>882000</v>
      </c>
      <c r="N6" s="1">
        <v>908000</v>
      </c>
      <c r="O6" s="1">
        <v>951000</v>
      </c>
      <c r="P6" s="1">
        <v>976000</v>
      </c>
      <c r="Q6" s="1">
        <v>1059000</v>
      </c>
      <c r="R6" s="1">
        <v>1114000</v>
      </c>
      <c r="S6" s="1">
        <v>1155000</v>
      </c>
      <c r="T6" s="1">
        <v>1255000</v>
      </c>
      <c r="U6" s="2">
        <v>1206000</v>
      </c>
      <c r="V6" s="2">
        <v>1235000</v>
      </c>
      <c r="W6" s="2">
        <v>1276000</v>
      </c>
      <c r="X6" s="2">
        <v>1296000</v>
      </c>
      <c r="Y6" s="2">
        <v>1357000</v>
      </c>
      <c r="Z6" s="2">
        <v>1291000</v>
      </c>
      <c r="AA6" s="2">
        <v>1408000</v>
      </c>
      <c r="AB6" s="2">
        <v>1503000</v>
      </c>
      <c r="AC6" s="3" t="s">
        <v>2</v>
      </c>
    </row>
    <row r="7" spans="3:29" x14ac:dyDescent="0.35">
      <c r="C7" t="s">
        <v>5</v>
      </c>
      <c r="D7" s="1">
        <v>899000</v>
      </c>
      <c r="E7" s="1">
        <f>937000</f>
        <v>937000</v>
      </c>
      <c r="F7" s="1">
        <v>936000</v>
      </c>
      <c r="G7" s="1">
        <v>1026000</v>
      </c>
      <c r="H7" s="1">
        <v>1077000</v>
      </c>
      <c r="I7" s="1">
        <v>1081000</v>
      </c>
      <c r="J7" s="1">
        <v>1124000</v>
      </c>
      <c r="K7" s="1">
        <v>1163000</v>
      </c>
      <c r="L7" s="1">
        <v>1199000</v>
      </c>
      <c r="M7" s="1">
        <v>1234000</v>
      </c>
      <c r="N7" s="1">
        <v>1294000</v>
      </c>
      <c r="O7" s="1">
        <v>1337000</v>
      </c>
      <c r="P7" s="1">
        <v>1400000</v>
      </c>
      <c r="Q7" s="1">
        <v>1407000</v>
      </c>
      <c r="R7" s="1">
        <v>1443000</v>
      </c>
      <c r="S7" s="1">
        <v>1494000</v>
      </c>
      <c r="T7" s="1">
        <v>1487000</v>
      </c>
      <c r="U7" s="2">
        <v>1538000</v>
      </c>
      <c r="V7" s="2">
        <v>1587000</v>
      </c>
      <c r="W7" s="2">
        <v>1625000</v>
      </c>
      <c r="X7" s="2">
        <v>1681000</v>
      </c>
      <c r="Y7" s="2">
        <v>1707000</v>
      </c>
      <c r="Z7" s="2">
        <v>1862000</v>
      </c>
      <c r="AA7" s="2">
        <v>1838000</v>
      </c>
      <c r="AB7" s="2">
        <v>1837000</v>
      </c>
      <c r="AC7" s="3" t="s">
        <v>2</v>
      </c>
    </row>
    <row r="8" spans="3:29" x14ac:dyDescent="0.35"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2"/>
      <c r="V8" s="2"/>
      <c r="W8" s="2"/>
      <c r="X8" s="2"/>
      <c r="Y8" s="2"/>
      <c r="Z8" s="2"/>
      <c r="AA8" s="2"/>
      <c r="AB8" s="2"/>
      <c r="AC8" s="3"/>
    </row>
    <row r="9" spans="3:29" x14ac:dyDescent="0.35">
      <c r="C9" s="7" t="s">
        <v>9</v>
      </c>
      <c r="D9" s="7" t="s">
        <v>6</v>
      </c>
      <c r="E9" s="8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</row>
    <row r="10" spans="3:29" x14ac:dyDescent="0.35">
      <c r="C10" s="9"/>
      <c r="D10" s="10">
        <v>1998</v>
      </c>
      <c r="E10" s="10">
        <v>1999</v>
      </c>
      <c r="F10" s="10">
        <v>2000</v>
      </c>
      <c r="G10" s="10">
        <v>2001</v>
      </c>
      <c r="H10" s="10">
        <v>2002</v>
      </c>
      <c r="I10" s="10">
        <v>2003</v>
      </c>
      <c r="J10" s="10">
        <v>2004</v>
      </c>
      <c r="K10" s="10">
        <v>2005</v>
      </c>
      <c r="L10" s="10">
        <v>2006</v>
      </c>
      <c r="M10" s="10">
        <v>2007</v>
      </c>
      <c r="N10" s="10">
        <v>2008</v>
      </c>
      <c r="O10" s="10">
        <v>2009</v>
      </c>
      <c r="P10" s="10">
        <v>2010</v>
      </c>
      <c r="Q10" s="10">
        <v>2011</v>
      </c>
      <c r="R10" s="10">
        <v>2012</v>
      </c>
      <c r="S10" s="10">
        <v>2013</v>
      </c>
      <c r="T10" s="10">
        <v>2014</v>
      </c>
      <c r="U10" s="10">
        <v>2015</v>
      </c>
      <c r="V10" s="10">
        <v>2016</v>
      </c>
      <c r="W10" s="10">
        <v>2017</v>
      </c>
      <c r="X10" s="10">
        <v>2018</v>
      </c>
      <c r="Y10" s="10">
        <v>2019</v>
      </c>
      <c r="Z10" s="10">
        <v>2020</v>
      </c>
      <c r="AA10" s="10">
        <v>2021</v>
      </c>
      <c r="AB10" s="10">
        <v>2022</v>
      </c>
      <c r="AC10" s="10">
        <v>2023</v>
      </c>
    </row>
    <row r="11" spans="3:29" x14ac:dyDescent="0.35">
      <c r="C11" t="s">
        <v>1</v>
      </c>
      <c r="D11" s="1">
        <v>633742</v>
      </c>
      <c r="E11" s="1">
        <v>686228.18</v>
      </c>
      <c r="F11" s="1">
        <v>541389</v>
      </c>
      <c r="G11" s="1">
        <v>449631.69</v>
      </c>
      <c r="H11" s="1">
        <v>425509.67</v>
      </c>
      <c r="I11" s="1">
        <v>504796.26899999997</v>
      </c>
      <c r="J11" s="1">
        <v>516120.17800000001</v>
      </c>
      <c r="K11" s="1">
        <v>569480.56000000006</v>
      </c>
      <c r="L11" s="1">
        <v>593119.01</v>
      </c>
      <c r="M11" s="1">
        <v>641280.39</v>
      </c>
      <c r="N11" s="1">
        <v>619999.35</v>
      </c>
      <c r="O11" s="1">
        <v>665587.35</v>
      </c>
      <c r="P11" s="1">
        <v>692420.63</v>
      </c>
      <c r="Q11" s="1">
        <v>771153.13</v>
      </c>
      <c r="R11" s="1">
        <v>786715.68</v>
      </c>
      <c r="S11" s="1">
        <v>806660.52</v>
      </c>
      <c r="T11" s="1">
        <v>831024.3</v>
      </c>
      <c r="U11" s="2">
        <v>928770.63</v>
      </c>
      <c r="V11" s="2">
        <v>939592</v>
      </c>
      <c r="W11" s="4">
        <v>932124.93</v>
      </c>
      <c r="X11" s="4">
        <v>955942.74</v>
      </c>
      <c r="Y11" s="2">
        <v>1013685</v>
      </c>
      <c r="Z11" s="4">
        <v>893825.18</v>
      </c>
      <c r="AA11" s="2">
        <v>1036575</v>
      </c>
      <c r="AB11" s="2">
        <v>1135797</v>
      </c>
      <c r="AC11" s="2">
        <v>1084546</v>
      </c>
    </row>
    <row r="12" spans="3:29" x14ac:dyDescent="0.35">
      <c r="C12" t="s">
        <v>3</v>
      </c>
      <c r="D12" s="1">
        <v>90648</v>
      </c>
      <c r="E12" s="1">
        <v>78573.904999999999</v>
      </c>
      <c r="F12" s="1">
        <v>66296.402000000002</v>
      </c>
      <c r="G12" s="1">
        <v>124178.07399999999</v>
      </c>
      <c r="H12" s="1">
        <v>161339.33199999999</v>
      </c>
      <c r="I12" s="1">
        <v>152370.07999999999</v>
      </c>
      <c r="J12" s="1">
        <v>160552.07999999999</v>
      </c>
      <c r="K12" s="1">
        <v>145426.79999999999</v>
      </c>
      <c r="L12" s="1">
        <v>146169.34</v>
      </c>
      <c r="M12" s="1">
        <v>152821.56</v>
      </c>
      <c r="N12" s="1">
        <v>191345.04</v>
      </c>
      <c r="O12" s="1">
        <v>179028.51</v>
      </c>
      <c r="P12" s="1">
        <v>195280.9</v>
      </c>
      <c r="Q12" s="1">
        <v>176862.39</v>
      </c>
      <c r="R12" s="1">
        <v>203981.23</v>
      </c>
      <c r="S12" s="1">
        <v>215158.31</v>
      </c>
      <c r="T12" s="1">
        <v>230257.18</v>
      </c>
      <c r="U12" s="2">
        <v>273563.19</v>
      </c>
      <c r="V12" s="2">
        <v>293761.09000000003</v>
      </c>
      <c r="W12" s="4">
        <v>320231.39</v>
      </c>
      <c r="X12" s="4">
        <v>339733.02</v>
      </c>
      <c r="Y12" s="2">
        <v>340745.39</v>
      </c>
      <c r="Z12" s="4">
        <v>292024.67</v>
      </c>
      <c r="AA12" s="2">
        <v>367349.73</v>
      </c>
      <c r="AB12" s="2">
        <v>361970.52</v>
      </c>
      <c r="AC12" s="2">
        <v>352088.51</v>
      </c>
    </row>
    <row r="13" spans="3:29" x14ac:dyDescent="0.35">
      <c r="C13" t="s">
        <v>10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AA13" s="2"/>
      <c r="AB13" s="2"/>
      <c r="AC13" s="2"/>
    </row>
    <row r="14" spans="3:29" x14ac:dyDescent="0.35">
      <c r="C14" t="s">
        <v>4</v>
      </c>
      <c r="D14" s="1">
        <f>D11+D12</f>
        <v>724390</v>
      </c>
      <c r="E14" s="1">
        <f>E11+E12</f>
        <v>764802.08500000008</v>
      </c>
      <c r="F14" s="1">
        <f>F11+F12</f>
        <v>607685.402</v>
      </c>
      <c r="G14" s="1">
        <f t="shared" ref="G14:AC14" si="0">G11+G12</f>
        <v>573809.76399999997</v>
      </c>
      <c r="H14" s="1">
        <f t="shared" si="0"/>
        <v>586849.00199999998</v>
      </c>
      <c r="I14" s="1">
        <f t="shared" si="0"/>
        <v>657166.34899999993</v>
      </c>
      <c r="J14" s="1">
        <f t="shared" si="0"/>
        <v>676672.25800000003</v>
      </c>
      <c r="K14" s="1">
        <f t="shared" si="0"/>
        <v>714907.3600000001</v>
      </c>
      <c r="L14" s="1">
        <f t="shared" si="0"/>
        <v>739288.35</v>
      </c>
      <c r="M14" s="1">
        <f t="shared" si="0"/>
        <v>794101.95</v>
      </c>
      <c r="N14" s="1">
        <f t="shared" si="0"/>
        <v>811344.39</v>
      </c>
      <c r="O14" s="1">
        <f t="shared" si="0"/>
        <v>844615.86</v>
      </c>
      <c r="P14" s="1">
        <f t="shared" si="0"/>
        <v>887701.53</v>
      </c>
      <c r="Q14" s="1">
        <f t="shared" si="0"/>
        <v>948015.52</v>
      </c>
      <c r="R14" s="1">
        <f t="shared" si="0"/>
        <v>990696.91</v>
      </c>
      <c r="S14" s="1">
        <f t="shared" si="0"/>
        <v>1021818.8300000001</v>
      </c>
      <c r="T14" s="1">
        <f t="shared" si="0"/>
        <v>1061281.48</v>
      </c>
      <c r="U14" s="1">
        <f t="shared" si="0"/>
        <v>1202333.82</v>
      </c>
      <c r="V14" s="1">
        <f t="shared" si="0"/>
        <v>1233353.0900000001</v>
      </c>
      <c r="W14" s="1">
        <f t="shared" si="0"/>
        <v>1252356.32</v>
      </c>
      <c r="X14" s="1">
        <f t="shared" si="0"/>
        <v>1295675.76</v>
      </c>
      <c r="Y14" s="1">
        <f t="shared" si="0"/>
        <v>1354430.3900000001</v>
      </c>
      <c r="Z14" s="1">
        <f t="shared" si="0"/>
        <v>1185849.8500000001</v>
      </c>
      <c r="AA14" s="1">
        <f t="shared" si="0"/>
        <v>1403924.73</v>
      </c>
      <c r="AB14" s="1">
        <f t="shared" si="0"/>
        <v>1497767.52</v>
      </c>
      <c r="AC14" s="1">
        <f t="shared" si="0"/>
        <v>1436634.51</v>
      </c>
    </row>
    <row r="15" spans="3:29" x14ac:dyDescent="0.35">
      <c r="C15" t="s">
        <v>5</v>
      </c>
      <c r="D15" s="1">
        <v>1084726</v>
      </c>
      <c r="E15" s="1">
        <v>1103010</v>
      </c>
      <c r="F15" s="1">
        <v>897149.46</v>
      </c>
      <c r="G15" s="1">
        <v>989905.09</v>
      </c>
      <c r="H15" s="1">
        <v>1367982</v>
      </c>
      <c r="I15" s="1">
        <v>1034365</v>
      </c>
      <c r="J15" s="1">
        <v>1081901.5</v>
      </c>
      <c r="K15" s="1">
        <v>1111805</v>
      </c>
      <c r="L15" s="1">
        <v>1156582.3999999999</v>
      </c>
      <c r="M15" s="1">
        <v>1171776</v>
      </c>
      <c r="N15" s="1">
        <v>1231263</v>
      </c>
      <c r="O15" s="1">
        <v>1273529</v>
      </c>
      <c r="P15" s="1">
        <v>1422003</v>
      </c>
      <c r="Q15" s="1">
        <v>1315772</v>
      </c>
      <c r="R15" s="1">
        <v>1345618.2</v>
      </c>
      <c r="S15" s="1">
        <v>1387238</v>
      </c>
      <c r="T15" s="1">
        <v>1420454</v>
      </c>
      <c r="U15" s="2">
        <v>1541379</v>
      </c>
      <c r="V15" s="2">
        <v>1588960</v>
      </c>
      <c r="W15" s="2">
        <v>1643801</v>
      </c>
      <c r="X15" s="2">
        <v>1687358</v>
      </c>
      <c r="Y15" s="2">
        <v>1712121</v>
      </c>
      <c r="Z15" s="2">
        <v>1736247</v>
      </c>
      <c r="AA15" s="2">
        <v>1842393</v>
      </c>
      <c r="AB15" s="2">
        <v>1842655</v>
      </c>
      <c r="AC15" s="2">
        <v>1771222</v>
      </c>
    </row>
    <row r="16" spans="3:29" x14ac:dyDescent="0.35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2"/>
      <c r="V16" s="2"/>
      <c r="W16" s="2"/>
      <c r="X16" s="2"/>
      <c r="Y16" s="2"/>
      <c r="Z16" s="2"/>
      <c r="AA16" s="2"/>
      <c r="AB16" s="2"/>
      <c r="AC16" s="2"/>
    </row>
    <row r="17" spans="3:29" x14ac:dyDescent="0.35">
      <c r="C17" s="7" t="s">
        <v>11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 spans="3:29" x14ac:dyDescent="0.35">
      <c r="C18" t="s">
        <v>7</v>
      </c>
      <c r="D18" s="5">
        <f>D11/(D15+D14)</f>
        <v>0.35030478974261464</v>
      </c>
      <c r="E18" s="5">
        <f>E11/(E15+E14)</f>
        <v>0.36739679837760558</v>
      </c>
      <c r="F18" s="5">
        <f>F11/(F15+F14)</f>
        <v>0.35976638611393363</v>
      </c>
      <c r="G18" s="5">
        <f>G11/(G15+G14)</f>
        <v>0.28754071680641596</v>
      </c>
      <c r="H18" s="5">
        <f>H11/(H15+H14)</f>
        <v>0.21767082144935207</v>
      </c>
      <c r="I18" s="5">
        <f t="shared" ref="I18:AC18" si="1">I11/(I15+I14)</f>
        <v>0.29842560665424595</v>
      </c>
      <c r="J18" s="5">
        <f t="shared" si="1"/>
        <v>0.29348793341882679</v>
      </c>
      <c r="K18" s="5">
        <f t="shared" si="1"/>
        <v>0.31175163231500774</v>
      </c>
      <c r="L18" s="5">
        <f t="shared" si="1"/>
        <v>0.31284780884983854</v>
      </c>
      <c r="M18" s="5">
        <f t="shared" si="1"/>
        <v>0.32620559684287626</v>
      </c>
      <c r="N18" s="5">
        <f t="shared" si="1"/>
        <v>0.30353329427639048</v>
      </c>
      <c r="O18" s="5">
        <f t="shared" si="1"/>
        <v>0.31423127028243009</v>
      </c>
      <c r="P18" s="5">
        <f t="shared" si="1"/>
        <v>0.29978753602738961</v>
      </c>
      <c r="Q18" s="5">
        <f t="shared" si="1"/>
        <v>0.34064731039775326</v>
      </c>
      <c r="R18" s="5">
        <f t="shared" si="1"/>
        <v>0.33673354961095125</v>
      </c>
      <c r="S18" s="5">
        <f t="shared" si="1"/>
        <v>0.33484495257839142</v>
      </c>
      <c r="T18" s="5">
        <f t="shared" si="1"/>
        <v>0.33485611448001706</v>
      </c>
      <c r="U18" s="5">
        <f t="shared" si="1"/>
        <v>0.33850868911273296</v>
      </c>
      <c r="V18" s="5">
        <f t="shared" si="1"/>
        <v>0.33291558024839835</v>
      </c>
      <c r="W18" s="5">
        <f t="shared" si="1"/>
        <v>0.32184885937066426</v>
      </c>
      <c r="X18" s="5">
        <f t="shared" si="1"/>
        <v>0.32045991326628503</v>
      </c>
      <c r="Y18" s="5">
        <f t="shared" si="1"/>
        <v>0.33056188241476037</v>
      </c>
      <c r="Z18" s="5">
        <f t="shared" si="1"/>
        <v>0.30588485799161652</v>
      </c>
      <c r="AA18" s="5">
        <f t="shared" si="1"/>
        <v>0.3193079316977393</v>
      </c>
      <c r="AB18" s="5">
        <f t="shared" si="1"/>
        <v>0.34001596899783804</v>
      </c>
      <c r="AC18" s="5">
        <f t="shared" si="1"/>
        <v>0.33809055879497557</v>
      </c>
    </row>
    <row r="19" spans="3:29" x14ac:dyDescent="0.35">
      <c r="C19" t="s">
        <v>8</v>
      </c>
      <c r="D19" s="5">
        <f t="shared" ref="D19:G19" si="2">D3/(D6+D7)</f>
        <v>0.32943469785575047</v>
      </c>
      <c r="E19" s="5">
        <f t="shared" si="2"/>
        <v>0.34413965087281795</v>
      </c>
      <c r="F19" s="5">
        <f t="shared" si="2"/>
        <v>0.33499688084840923</v>
      </c>
      <c r="G19" s="5">
        <f t="shared" si="2"/>
        <v>0.27218225419664266</v>
      </c>
      <c r="H19" s="5">
        <f>H3/(H6+H7)</f>
        <v>0.24394463667820068</v>
      </c>
      <c r="I19" s="5">
        <f t="shared" ref="I19:AB19" si="3">I3/(I6+I7)</f>
        <v>0.27287853577371046</v>
      </c>
      <c r="J19" s="5">
        <f t="shared" si="3"/>
        <v>0.26812366737739873</v>
      </c>
      <c r="K19" s="5">
        <f t="shared" si="3"/>
        <v>0.28227459016393441</v>
      </c>
      <c r="L19" s="5">
        <f t="shared" si="3"/>
        <v>0.27988194786030496</v>
      </c>
      <c r="M19" s="5">
        <f t="shared" si="3"/>
        <v>0.29300567107750475</v>
      </c>
      <c r="N19" s="5">
        <f t="shared" si="3"/>
        <v>0.2742960944595822</v>
      </c>
      <c r="O19" s="5">
        <f t="shared" si="3"/>
        <v>0.28889860139860141</v>
      </c>
      <c r="P19" s="5">
        <f t="shared" si="3"/>
        <v>0.28409090909090912</v>
      </c>
      <c r="Q19" s="5">
        <f t="shared" si="3"/>
        <v>0.30616382806163828</v>
      </c>
      <c r="R19" s="5">
        <f t="shared" si="3"/>
        <v>0.30543605788032852</v>
      </c>
      <c r="S19" s="5">
        <f t="shared" si="3"/>
        <v>0.30766326915817288</v>
      </c>
      <c r="T19" s="5">
        <f t="shared" si="3"/>
        <v>0.30488694383661563</v>
      </c>
      <c r="U19" s="5">
        <f t="shared" si="3"/>
        <v>0.33855685131195334</v>
      </c>
      <c r="V19" s="5">
        <f t="shared" si="3"/>
        <v>0.33274273564847628</v>
      </c>
      <c r="W19" s="5">
        <f t="shared" si="3"/>
        <v>0.3271285763529817</v>
      </c>
      <c r="X19" s="5">
        <f t="shared" si="3"/>
        <v>0.32112865300638227</v>
      </c>
      <c r="Y19" s="5">
        <f t="shared" si="3"/>
        <v>0.33061357702349869</v>
      </c>
      <c r="Z19" s="5">
        <f t="shared" si="3"/>
        <v>0.30320329844592453</v>
      </c>
      <c r="AA19" s="5">
        <f t="shared" si="3"/>
        <v>0.31916204559457795</v>
      </c>
      <c r="AB19" s="5">
        <f t="shared" si="3"/>
        <v>0.34011976047904191</v>
      </c>
      <c r="AC19" s="5" t="s">
        <v>2</v>
      </c>
    </row>
    <row r="20" spans="3:29" x14ac:dyDescent="0.35"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 spans="3:29" x14ac:dyDescent="0.35">
      <c r="C21" s="7" t="s">
        <v>12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</row>
    <row r="22" spans="3:29" x14ac:dyDescent="0.35">
      <c r="C22" t="s">
        <v>7</v>
      </c>
      <c r="D22" s="5">
        <f>D11/D14</f>
        <v>0.87486298816935626</v>
      </c>
      <c r="E22" s="5">
        <f>E11/E14</f>
        <v>0.89726243358763857</v>
      </c>
      <c r="F22" s="5">
        <f>F11/F14</f>
        <v>0.89090341518521454</v>
      </c>
      <c r="G22" s="5">
        <f>G11/G14</f>
        <v>0.78359016909304458</v>
      </c>
      <c r="H22" s="5">
        <f>H11/H14</f>
        <v>0.72507522130880275</v>
      </c>
      <c r="I22" s="5">
        <f t="shared" ref="I22:AB22" si="4">I11/I14</f>
        <v>0.76814077557096583</v>
      </c>
      <c r="J22" s="5">
        <f t="shared" si="4"/>
        <v>0.76273287680725343</v>
      </c>
      <c r="K22" s="5">
        <f t="shared" si="4"/>
        <v>0.79657951765946289</v>
      </c>
      <c r="L22" s="5">
        <f t="shared" si="4"/>
        <v>0.80228372325899633</v>
      </c>
      <c r="M22" s="5">
        <f t="shared" si="4"/>
        <v>0.80755423154419914</v>
      </c>
      <c r="N22" s="5">
        <f t="shared" si="4"/>
        <v>0.76416298385941872</v>
      </c>
      <c r="O22" s="5">
        <f t="shared" si="4"/>
        <v>0.78803558105101179</v>
      </c>
      <c r="P22" s="5">
        <f t="shared" si="4"/>
        <v>0.78001513639387332</v>
      </c>
      <c r="Q22" s="5">
        <f t="shared" si="4"/>
        <v>0.81343935171019144</v>
      </c>
      <c r="R22" s="5">
        <f t="shared" si="4"/>
        <v>0.79410329441726024</v>
      </c>
      <c r="S22" s="5">
        <f t="shared" si="4"/>
        <v>0.78943595118520171</v>
      </c>
      <c r="T22" s="5">
        <f t="shared" si="4"/>
        <v>0.78303853940803725</v>
      </c>
      <c r="U22" s="5">
        <f t="shared" si="4"/>
        <v>0.77247318053483682</v>
      </c>
      <c r="V22" s="5">
        <f t="shared" si="4"/>
        <v>0.76181914783219129</v>
      </c>
      <c r="W22" s="5">
        <f t="shared" si="4"/>
        <v>0.74429690265786341</v>
      </c>
      <c r="X22" s="5">
        <f t="shared" si="4"/>
        <v>0.73779472419859116</v>
      </c>
      <c r="Y22" s="5">
        <f t="shared" si="4"/>
        <v>0.74842162984839689</v>
      </c>
      <c r="Z22" s="5">
        <f t="shared" si="4"/>
        <v>0.75374228870543769</v>
      </c>
      <c r="AA22" s="5">
        <f t="shared" si="4"/>
        <v>0.73834086532545085</v>
      </c>
      <c r="AB22" s="5">
        <f t="shared" si="4"/>
        <v>0.75832663269397105</v>
      </c>
      <c r="AC22" s="5">
        <f>AC11/AC14</f>
        <v>0.75492130562838844</v>
      </c>
    </row>
    <row r="23" spans="3:29" x14ac:dyDescent="0.35">
      <c r="C23" t="s">
        <v>8</v>
      </c>
      <c r="D23" s="5">
        <f t="shared" ref="D23:G23" si="5">D3/D6</f>
        <v>0.79218750000000004</v>
      </c>
      <c r="E23" s="5">
        <f t="shared" si="5"/>
        <v>0.82758620689655171</v>
      </c>
      <c r="F23" s="5">
        <f t="shared" si="5"/>
        <v>0.80509745127436283</v>
      </c>
      <c r="G23" s="5">
        <f t="shared" si="5"/>
        <v>0.70716510903426788</v>
      </c>
      <c r="H23" s="5">
        <f>H3/H6</f>
        <v>0.64383561643835618</v>
      </c>
      <c r="I23" s="5">
        <f t="shared" ref="I23:AB23" si="6">I3/I6</f>
        <v>0.68144044321329644</v>
      </c>
      <c r="J23" s="5">
        <f t="shared" si="6"/>
        <v>0.6688829787234043</v>
      </c>
      <c r="K23" s="5">
        <f t="shared" si="6"/>
        <v>0.69835234474017749</v>
      </c>
      <c r="L23" s="5">
        <f t="shared" si="6"/>
        <v>0.68225419664268583</v>
      </c>
      <c r="M23" s="5">
        <f t="shared" si="6"/>
        <v>0.7029478458049887</v>
      </c>
      <c r="N23" s="5">
        <f t="shared" si="6"/>
        <v>0.66519823788546251</v>
      </c>
      <c r="O23" s="5">
        <f t="shared" si="6"/>
        <v>0.6950578338590957</v>
      </c>
      <c r="P23" s="5">
        <f t="shared" si="6"/>
        <v>0.69159836065573765</v>
      </c>
      <c r="Q23" s="5">
        <f t="shared" si="6"/>
        <v>0.71293673276676106</v>
      </c>
      <c r="R23" s="5">
        <f t="shared" si="6"/>
        <v>0.70107719928186718</v>
      </c>
      <c r="S23" s="5">
        <f t="shared" si="6"/>
        <v>0.7056277056277056</v>
      </c>
      <c r="T23" s="5">
        <f t="shared" si="6"/>
        <v>0.66613545816733066</v>
      </c>
      <c r="U23" s="5">
        <f t="shared" si="6"/>
        <v>0.77031509121061359</v>
      </c>
      <c r="V23" s="5">
        <f t="shared" si="6"/>
        <v>0.76032388663967609</v>
      </c>
      <c r="W23" s="5">
        <f t="shared" si="6"/>
        <v>0.74373040752351094</v>
      </c>
      <c r="X23" s="5">
        <f t="shared" si="6"/>
        <v>0.73765432098765427</v>
      </c>
      <c r="Y23" s="5">
        <f t="shared" si="6"/>
        <v>0.74649963154016208</v>
      </c>
      <c r="Z23" s="5">
        <f t="shared" si="6"/>
        <v>0.74051123160340826</v>
      </c>
      <c r="AA23" s="5">
        <f t="shared" si="6"/>
        <v>0.73579545454545459</v>
      </c>
      <c r="AB23" s="5">
        <f t="shared" si="6"/>
        <v>0.75582168995342647</v>
      </c>
      <c r="AC23" s="5" t="s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De Los Milagros Quinones Nunura</dc:creator>
  <cp:lastModifiedBy>Alexandra De Los Milagros Quinones Nunura</cp:lastModifiedBy>
  <dcterms:created xsi:type="dcterms:W3CDTF">2025-12-17T22:24:34Z</dcterms:created>
  <dcterms:modified xsi:type="dcterms:W3CDTF">2025-12-17T22:32:16Z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9608d83-f952-409d-b7c5-456515bbbf5a_Enabled">
    <vt:lpwstr>true</vt:lpwstr>
  </property>
  <property fmtid="{D5CDD505-2E9C-101B-9397-08002B2CF9AE}" pid="3" name="MSIP_Label_89608d83-f952-409d-b7c5-456515bbbf5a_SetDate">
    <vt:lpwstr>2025-12-17T22:32:10Z</vt:lpwstr>
  </property>
  <property fmtid="{D5CDD505-2E9C-101B-9397-08002B2CF9AE}" pid="4" name="MSIP_Label_89608d83-f952-409d-b7c5-456515bbbf5a_Method">
    <vt:lpwstr>Privileged</vt:lpwstr>
  </property>
  <property fmtid="{D5CDD505-2E9C-101B-9397-08002B2CF9AE}" pid="5" name="MSIP_Label_89608d83-f952-409d-b7c5-456515bbbf5a_Name">
    <vt:lpwstr>Public</vt:lpwstr>
  </property>
  <property fmtid="{D5CDD505-2E9C-101B-9397-08002B2CF9AE}" pid="6" name="MSIP_Label_89608d83-f952-409d-b7c5-456515bbbf5a_SiteId">
    <vt:lpwstr>31a2fec0-266b-4c67-b56e-2796d8f59c36</vt:lpwstr>
  </property>
  <property fmtid="{D5CDD505-2E9C-101B-9397-08002B2CF9AE}" pid="7" name="MSIP_Label_89608d83-f952-409d-b7c5-456515bbbf5a_ActionId">
    <vt:lpwstr>c64cb6ca-7282-451d-a138-6aad869ed88a</vt:lpwstr>
  </property>
  <property fmtid="{D5CDD505-2E9C-101B-9397-08002B2CF9AE}" pid="8" name="MSIP_Label_89608d83-f952-409d-b7c5-456515bbbf5a_ContentBits">
    <vt:lpwstr>0</vt:lpwstr>
  </property>
  <property fmtid="{D5CDD505-2E9C-101B-9397-08002B2CF9AE}" pid="9" name="MSIP_Label_89608d83-f952-409d-b7c5-456515bbbf5a_Tag">
    <vt:lpwstr>10, 0, 1, 1</vt:lpwstr>
  </property>
</Properties>
</file>