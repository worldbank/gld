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29026\Downloads\"/>
    </mc:Choice>
  </mc:AlternateContent>
  <xr:revisionPtr revIDLastSave="0" documentId="13_ncr:1_{5C2CCB75-D563-4E0D-8908-D43F84F40DF4}" xr6:coauthVersionLast="47" xr6:coauthVersionMax="47" xr10:uidLastSave="{00000000-0000-0000-0000-000000000000}"/>
  <bookViews>
    <workbookView xWindow="-120" yWindow="-120" windowWidth="38640" windowHeight="21120" xr2:uid="{2263846E-A2B0-481E-951F-2B78784C1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1" l="1"/>
  <c r="Q29" i="1"/>
  <c r="N28" i="1"/>
  <c r="N29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3" i="1"/>
  <c r="J29" i="1"/>
  <c r="M29" i="1" s="1"/>
  <c r="J28" i="1"/>
  <c r="P28" i="1" s="1"/>
  <c r="J27" i="1"/>
  <c r="M27" i="1" s="1"/>
  <c r="J26" i="1"/>
  <c r="M26" i="1" s="1"/>
  <c r="J25" i="1"/>
  <c r="P25" i="1" s="1"/>
  <c r="J24" i="1"/>
  <c r="P24" i="1" s="1"/>
  <c r="J23" i="1"/>
  <c r="M23" i="1" s="1"/>
  <c r="J22" i="1"/>
  <c r="M22" i="1" s="1"/>
  <c r="J21" i="1"/>
  <c r="P21" i="1" s="1"/>
  <c r="J20" i="1"/>
  <c r="P20" i="1" s="1"/>
  <c r="J19" i="1"/>
  <c r="M19" i="1" s="1"/>
  <c r="J18" i="1"/>
  <c r="M18" i="1" s="1"/>
  <c r="J17" i="1"/>
  <c r="P17" i="1" s="1"/>
  <c r="J16" i="1"/>
  <c r="P16" i="1" s="1"/>
  <c r="J15" i="1"/>
  <c r="M15" i="1" s="1"/>
  <c r="J14" i="1"/>
  <c r="M14" i="1" s="1"/>
  <c r="J13" i="1"/>
  <c r="P13" i="1" s="1"/>
  <c r="J12" i="1"/>
  <c r="P12" i="1" s="1"/>
  <c r="J11" i="1"/>
  <c r="M11" i="1" s="1"/>
  <c r="J10" i="1"/>
  <c r="M10" i="1" s="1"/>
  <c r="J9" i="1"/>
  <c r="P9" i="1" s="1"/>
  <c r="J8" i="1"/>
  <c r="P8" i="1" s="1"/>
  <c r="J7" i="1"/>
  <c r="M7" i="1" s="1"/>
  <c r="J6" i="1"/>
  <c r="M6" i="1" s="1"/>
  <c r="J5" i="1"/>
  <c r="P5" i="1" s="1"/>
  <c r="J4" i="1"/>
  <c r="P4" i="1" s="1"/>
  <c r="J3" i="1"/>
  <c r="P3" i="1" s="1"/>
  <c r="F4" i="1"/>
  <c r="D4" i="1"/>
  <c r="C4" i="1"/>
  <c r="Q4" i="1" s="1"/>
  <c r="M17" i="1" l="1"/>
  <c r="M28" i="1"/>
  <c r="M3" i="1"/>
  <c r="M9" i="1"/>
  <c r="P27" i="1"/>
  <c r="P10" i="1"/>
  <c r="P15" i="1"/>
  <c r="M20" i="1"/>
  <c r="P26" i="1"/>
  <c r="P19" i="1"/>
  <c r="M25" i="1"/>
  <c r="M12" i="1"/>
  <c r="P7" i="1"/>
  <c r="M4" i="1"/>
  <c r="P18" i="1"/>
  <c r="P23" i="1"/>
  <c r="P11" i="1"/>
  <c r="M21" i="1"/>
  <c r="N4" i="1"/>
  <c r="M13" i="1"/>
  <c r="M5" i="1"/>
  <c r="P22" i="1"/>
  <c r="P6" i="1"/>
  <c r="M16" i="1"/>
  <c r="P14" i="1"/>
  <c r="P29" i="1"/>
  <c r="M24" i="1"/>
  <c r="M8" i="1"/>
</calcChain>
</file>

<file path=xl/sharedStrings.xml><?xml version="1.0" encoding="utf-8"?>
<sst xmlns="http://schemas.openxmlformats.org/spreadsheetml/2006/main" count="20" uniqueCount="14">
  <si>
    <t>Employment</t>
  </si>
  <si>
    <t>Unemployment</t>
  </si>
  <si>
    <t>In LF</t>
  </si>
  <si>
    <t>Out LF</t>
  </si>
  <si>
    <t>Employment / WAP</t>
  </si>
  <si>
    <t>Year</t>
  </si>
  <si>
    <t>Population 15+ GLD Estimates</t>
  </si>
  <si>
    <t>Population 15+ PCSB reports</t>
  </si>
  <si>
    <t>Ratio GLD</t>
  </si>
  <si>
    <t>Ratio PS NSO</t>
  </si>
  <si>
    <t>Employment /Labor Force</t>
  </si>
  <si>
    <t>2023*</t>
  </si>
  <si>
    <t>2024*</t>
  </si>
  <si>
    <t>*Note: For 2023, and 2024 estimates are only for West Bank. See reports for more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</si>
</sst>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0" fillId="2" borderId="0" xfId="1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10" fontId="0" fillId="3" borderId="0" xfId="2" applyNumberFormat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Continuous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FDD0-8DA6-4A2C-9144-EAAD5873D07B}">
  <dimension ref="A1:Q31"/>
  <sheetViews>
    <sheetView tabSelected="1" zoomScaleNormal="100" workbookViewId="0">
      <selection activeCell="B32" sqref="B32"/>
    </sheetView>
  </sheetViews>
  <sheetFormatPr defaultColWidth="8.7109375" defaultRowHeight="15" x14ac:dyDescent="0.25"/>
  <cols>
    <col min="1" max="1" width="8.7109375" style="1"/>
    <col min="2" max="2" width="13.42578125" style="1" bestFit="1" customWidth="1"/>
    <col min="3" max="3" width="20.7109375" style="1" customWidth="1"/>
    <col min="4" max="4" width="26.42578125" style="1" customWidth="1"/>
    <col min="5" max="5" width="20.42578125" style="1" customWidth="1"/>
    <col min="6" max="6" width="20.5703125" style="1" customWidth="1"/>
    <col min="7" max="7" width="10.7109375" style="1" customWidth="1"/>
    <col min="8" max="8" width="24.7109375" style="1" customWidth="1"/>
    <col min="9" max="9" width="28.28515625" style="1" customWidth="1"/>
    <col min="10" max="10" width="23.7109375" style="1" customWidth="1"/>
    <col min="11" max="11" width="25.140625" style="1" customWidth="1"/>
    <col min="12" max="12" width="10.7109375" style="1" customWidth="1"/>
    <col min="13" max="13" width="19.42578125" style="1" customWidth="1"/>
    <col min="14" max="14" width="20.85546875" style="1" customWidth="1"/>
    <col min="15" max="15" width="10.7109375" style="19" customWidth="1"/>
    <col min="16" max="16" width="21.7109375" style="1" customWidth="1"/>
    <col min="17" max="17" width="22.85546875" style="1" customWidth="1"/>
    <col min="18" max="16384" width="8.7109375" style="1"/>
  </cols>
  <sheetData>
    <row r="1" spans="2:17" ht="36.75" customHeight="1" x14ac:dyDescent="0.25">
      <c r="B1" s="24" t="s">
        <v>7</v>
      </c>
      <c r="C1" s="24"/>
      <c r="D1" s="24"/>
      <c r="E1" s="24"/>
      <c r="F1" s="24"/>
      <c r="G1" s="2"/>
      <c r="H1" s="24" t="s">
        <v>6</v>
      </c>
      <c r="I1" s="24"/>
      <c r="J1" s="24"/>
      <c r="K1" s="24"/>
      <c r="L1" s="2"/>
      <c r="M1" s="24" t="s">
        <v>4</v>
      </c>
      <c r="N1" s="24"/>
      <c r="O1" s="20"/>
      <c r="P1" s="24" t="s">
        <v>10</v>
      </c>
      <c r="Q1" s="24"/>
    </row>
    <row r="2" spans="2:17" ht="45.75" customHeight="1" x14ac:dyDescent="0.25">
      <c r="B2" s="15" t="s">
        <v>5</v>
      </c>
      <c r="C2" s="15" t="s">
        <v>0</v>
      </c>
      <c r="D2" s="15" t="s">
        <v>1</v>
      </c>
      <c r="E2" s="15" t="s">
        <v>2</v>
      </c>
      <c r="F2" s="15" t="s">
        <v>3</v>
      </c>
      <c r="G2" s="16"/>
      <c r="H2" s="15" t="s">
        <v>0</v>
      </c>
      <c r="I2" s="15" t="s">
        <v>1</v>
      </c>
      <c r="J2" s="15" t="s">
        <v>2</v>
      </c>
      <c r="K2" s="15" t="s">
        <v>3</v>
      </c>
      <c r="L2" s="16"/>
      <c r="M2" s="15" t="s">
        <v>8</v>
      </c>
      <c r="N2" s="15" t="s">
        <v>9</v>
      </c>
      <c r="O2" s="21"/>
      <c r="P2" s="15" t="s">
        <v>8</v>
      </c>
      <c r="Q2" s="15" t="s">
        <v>9</v>
      </c>
    </row>
    <row r="3" spans="2:17" x14ac:dyDescent="0.25">
      <c r="B3" s="4">
        <v>1998</v>
      </c>
      <c r="C3" s="5">
        <v>507000</v>
      </c>
      <c r="D3" s="5">
        <v>91000</v>
      </c>
      <c r="E3" s="5">
        <v>640000</v>
      </c>
      <c r="F3" s="5">
        <v>899000</v>
      </c>
      <c r="G3" s="11"/>
      <c r="H3" s="6">
        <v>633742</v>
      </c>
      <c r="I3" s="6">
        <v>90648</v>
      </c>
      <c r="J3" s="6">
        <f>H3+I3</f>
        <v>724390</v>
      </c>
      <c r="K3" s="6">
        <v>1084726</v>
      </c>
      <c r="L3" s="14"/>
      <c r="M3" s="7">
        <f>H3/(J3+K3)</f>
        <v>0.35030478974261464</v>
      </c>
      <c r="N3" s="3">
        <f>C3/(E3+F3)</f>
        <v>0.32943469785575047</v>
      </c>
      <c r="O3" s="22"/>
      <c r="P3" s="3">
        <f>H3/J3</f>
        <v>0.87486298816935626</v>
      </c>
      <c r="Q3" s="3">
        <f>C3/E3</f>
        <v>0.79218750000000004</v>
      </c>
    </row>
    <row r="4" spans="2:17" x14ac:dyDescent="0.25">
      <c r="B4" s="4">
        <v>1999</v>
      </c>
      <c r="C4" s="5">
        <f>552000</f>
        <v>552000</v>
      </c>
      <c r="D4" s="5">
        <f>79000</f>
        <v>79000</v>
      </c>
      <c r="E4" s="5">
        <v>667000</v>
      </c>
      <c r="F4" s="5">
        <f>937000</f>
        <v>937000</v>
      </c>
      <c r="G4" s="11"/>
      <c r="H4" s="6">
        <v>686228.18</v>
      </c>
      <c r="I4" s="6">
        <v>78573.904999999999</v>
      </c>
      <c r="J4" s="6">
        <f>H4+I4</f>
        <v>764802.08500000008</v>
      </c>
      <c r="K4" s="6">
        <v>1103010</v>
      </c>
      <c r="L4" s="14"/>
      <c r="M4" s="7">
        <f>H4/(J4+K4)</f>
        <v>0.36739679837760558</v>
      </c>
      <c r="N4" s="3">
        <f>C4/(E4+F4)</f>
        <v>0.34413965087281795</v>
      </c>
      <c r="O4" s="22"/>
      <c r="P4" s="3">
        <f>H4/J4</f>
        <v>0.89726243358763857</v>
      </c>
      <c r="Q4" s="3">
        <f>C4/E4</f>
        <v>0.82758620689655171</v>
      </c>
    </row>
    <row r="5" spans="2:17" x14ac:dyDescent="0.25">
      <c r="B5" s="4">
        <v>2000</v>
      </c>
      <c r="C5" s="5">
        <v>537000</v>
      </c>
      <c r="D5" s="5">
        <v>95000</v>
      </c>
      <c r="E5" s="5">
        <v>667000</v>
      </c>
      <c r="F5" s="5">
        <v>936000</v>
      </c>
      <c r="G5" s="11"/>
      <c r="H5" s="6">
        <v>541389</v>
      </c>
      <c r="I5" s="6">
        <v>66296.402000000002</v>
      </c>
      <c r="J5" s="6">
        <f>H5+I5</f>
        <v>607685.402</v>
      </c>
      <c r="K5" s="6">
        <v>897149.46</v>
      </c>
      <c r="L5" s="14"/>
      <c r="M5" s="7">
        <f>H5/(J5+K5)</f>
        <v>0.35976638611393363</v>
      </c>
      <c r="N5" s="3">
        <f>C5/(E5+F5)</f>
        <v>0.33499688084840923</v>
      </c>
      <c r="O5" s="22"/>
      <c r="P5" s="3">
        <f>H5/J5</f>
        <v>0.89090341518521454</v>
      </c>
      <c r="Q5" s="3">
        <f>C5/E5</f>
        <v>0.80509745127436283</v>
      </c>
    </row>
    <row r="6" spans="2:17" x14ac:dyDescent="0.25">
      <c r="B6" s="4">
        <v>2001</v>
      </c>
      <c r="C6" s="5">
        <v>454000</v>
      </c>
      <c r="D6" s="5">
        <v>162000</v>
      </c>
      <c r="E6" s="5">
        <v>642000</v>
      </c>
      <c r="F6" s="5">
        <v>1026000</v>
      </c>
      <c r="G6" s="11"/>
      <c r="H6" s="6">
        <v>449631.69</v>
      </c>
      <c r="I6" s="6">
        <v>124178.07399999999</v>
      </c>
      <c r="J6" s="6">
        <f>H6+I6</f>
        <v>573809.76399999997</v>
      </c>
      <c r="K6" s="6">
        <v>989905.09</v>
      </c>
      <c r="L6" s="14"/>
      <c r="M6" s="7">
        <f>H6/(J6+K6)</f>
        <v>0.28754071680641596</v>
      </c>
      <c r="N6" s="3">
        <f>C6/(E6+F6)</f>
        <v>0.27218225419664266</v>
      </c>
      <c r="O6" s="23"/>
      <c r="P6" s="3">
        <f>H6/J6</f>
        <v>0.78359016909304458</v>
      </c>
      <c r="Q6" s="3">
        <f>C6/E6</f>
        <v>0.70716510903426788</v>
      </c>
    </row>
    <row r="7" spans="2:17" x14ac:dyDescent="0.25">
      <c r="B7" s="4">
        <v>2002</v>
      </c>
      <c r="C7" s="5">
        <v>423000</v>
      </c>
      <c r="D7" s="5">
        <v>205000</v>
      </c>
      <c r="E7" s="5">
        <v>657000</v>
      </c>
      <c r="F7" s="5">
        <v>1077000</v>
      </c>
      <c r="G7" s="11"/>
      <c r="H7" s="6">
        <v>425509.67</v>
      </c>
      <c r="I7" s="6">
        <v>161339.33199999999</v>
      </c>
      <c r="J7" s="6">
        <f>H7+I7</f>
        <v>586849.00199999998</v>
      </c>
      <c r="K7" s="6">
        <v>1367982</v>
      </c>
      <c r="L7" s="14"/>
      <c r="M7" s="7">
        <f>H7/(J7+K7)</f>
        <v>0.21767082144935207</v>
      </c>
      <c r="N7" s="3">
        <f>C7/(E7+F7)</f>
        <v>0.24394463667820068</v>
      </c>
      <c r="O7" s="22"/>
      <c r="P7" s="3">
        <f>H7/J7</f>
        <v>0.72507522130880275</v>
      </c>
      <c r="Q7" s="3">
        <f>C7/E7</f>
        <v>0.64383561643835618</v>
      </c>
    </row>
    <row r="8" spans="2:17" x14ac:dyDescent="0.25">
      <c r="B8" s="4">
        <v>2003</v>
      </c>
      <c r="C8" s="5">
        <v>492000</v>
      </c>
      <c r="D8" s="5">
        <v>185000</v>
      </c>
      <c r="E8" s="5">
        <v>722000</v>
      </c>
      <c r="F8" s="5">
        <v>1081000</v>
      </c>
      <c r="G8" s="11"/>
      <c r="H8" s="6">
        <v>504796.26899999997</v>
      </c>
      <c r="I8" s="6">
        <v>152370.07999999999</v>
      </c>
      <c r="J8" s="6">
        <f>H8+I8</f>
        <v>657166.34899999993</v>
      </c>
      <c r="K8" s="6">
        <v>1034365</v>
      </c>
      <c r="L8" s="14"/>
      <c r="M8" s="7">
        <f>H8/(J8+K8)</f>
        <v>0.29842560665424595</v>
      </c>
      <c r="N8" s="3">
        <f>C8/(E8+F8)</f>
        <v>0.27287853577371046</v>
      </c>
      <c r="O8" s="22"/>
      <c r="P8" s="3">
        <f>H8/J8</f>
        <v>0.76814077557096583</v>
      </c>
      <c r="Q8" s="3">
        <f>C8/E8</f>
        <v>0.68144044321329644</v>
      </c>
    </row>
    <row r="9" spans="2:17" x14ac:dyDescent="0.25">
      <c r="B9" s="4">
        <v>2004</v>
      </c>
      <c r="C9" s="5">
        <v>503000</v>
      </c>
      <c r="D9" s="5">
        <v>201000</v>
      </c>
      <c r="E9" s="5">
        <v>752000</v>
      </c>
      <c r="F9" s="5">
        <v>1124000</v>
      </c>
      <c r="G9" s="11"/>
      <c r="H9" s="6">
        <v>516120.17800000001</v>
      </c>
      <c r="I9" s="6">
        <v>160552.07999999999</v>
      </c>
      <c r="J9" s="6">
        <f>H9+I9</f>
        <v>676672.25800000003</v>
      </c>
      <c r="K9" s="6">
        <v>1081901.5</v>
      </c>
      <c r="L9" s="14"/>
      <c r="M9" s="7">
        <f>H9/(J9+K9)</f>
        <v>0.29348793341882679</v>
      </c>
      <c r="N9" s="3">
        <f>C9/(E9+F9)</f>
        <v>0.26812366737739873</v>
      </c>
      <c r="O9" s="22"/>
      <c r="P9" s="3">
        <f>H9/J9</f>
        <v>0.76273287680725343</v>
      </c>
      <c r="Q9" s="3">
        <f>C9/E9</f>
        <v>0.6688829787234043</v>
      </c>
    </row>
    <row r="10" spans="2:17" x14ac:dyDescent="0.25">
      <c r="B10" s="4">
        <v>2005</v>
      </c>
      <c r="C10" s="5">
        <v>551000</v>
      </c>
      <c r="D10" s="5">
        <v>186000</v>
      </c>
      <c r="E10" s="5">
        <v>789000</v>
      </c>
      <c r="F10" s="5">
        <v>1163000</v>
      </c>
      <c r="G10" s="11"/>
      <c r="H10" s="6">
        <v>569480.56000000006</v>
      </c>
      <c r="I10" s="6">
        <v>145426.79999999999</v>
      </c>
      <c r="J10" s="6">
        <f>H10+I10</f>
        <v>714907.3600000001</v>
      </c>
      <c r="K10" s="6">
        <v>1111805</v>
      </c>
      <c r="L10" s="14"/>
      <c r="M10" s="7">
        <f>H10/(J10+K10)</f>
        <v>0.31175163231500774</v>
      </c>
      <c r="N10" s="3">
        <f>C10/(E10+F10)</f>
        <v>0.28227459016393441</v>
      </c>
      <c r="O10" s="22"/>
      <c r="P10" s="3">
        <f>H10/J10</f>
        <v>0.79657951765946289</v>
      </c>
      <c r="Q10" s="3">
        <f>C10/E10</f>
        <v>0.69835234474017749</v>
      </c>
    </row>
    <row r="11" spans="2:17" x14ac:dyDescent="0.25">
      <c r="B11" s="4">
        <v>2006</v>
      </c>
      <c r="C11" s="5">
        <v>569000</v>
      </c>
      <c r="D11" s="5">
        <v>198000</v>
      </c>
      <c r="E11" s="5">
        <v>834000</v>
      </c>
      <c r="F11" s="5">
        <v>1199000</v>
      </c>
      <c r="G11" s="11"/>
      <c r="H11" s="6">
        <v>593119.01</v>
      </c>
      <c r="I11" s="6">
        <v>146169.34</v>
      </c>
      <c r="J11" s="6">
        <f>H11+I11</f>
        <v>739288.35</v>
      </c>
      <c r="K11" s="6">
        <v>1156582.3999999999</v>
      </c>
      <c r="L11" s="14"/>
      <c r="M11" s="7">
        <f>H11/(J11+K11)</f>
        <v>0.31284780884983854</v>
      </c>
      <c r="N11" s="3">
        <f>C11/(E11+F11)</f>
        <v>0.27988194786030496</v>
      </c>
      <c r="O11" s="22"/>
      <c r="P11" s="3">
        <f>H11/J11</f>
        <v>0.80228372325899633</v>
      </c>
      <c r="Q11" s="3">
        <f>C11/E11</f>
        <v>0.68225419664268583</v>
      </c>
    </row>
    <row r="12" spans="2:17" x14ac:dyDescent="0.25">
      <c r="B12" s="4">
        <v>2007</v>
      </c>
      <c r="C12" s="5">
        <v>620000</v>
      </c>
      <c r="D12" s="5">
        <v>192000</v>
      </c>
      <c r="E12" s="5">
        <v>882000</v>
      </c>
      <c r="F12" s="5">
        <v>1234000</v>
      </c>
      <c r="G12" s="11"/>
      <c r="H12" s="6">
        <v>641280.39</v>
      </c>
      <c r="I12" s="6">
        <v>152821.56</v>
      </c>
      <c r="J12" s="6">
        <f>H12+I12</f>
        <v>794101.95</v>
      </c>
      <c r="K12" s="6">
        <v>1171776</v>
      </c>
      <c r="L12" s="14"/>
      <c r="M12" s="7">
        <f>H12/(J12+K12)</f>
        <v>0.32620559684287626</v>
      </c>
      <c r="N12" s="3">
        <f>C12/(E12+F12)</f>
        <v>0.29300567107750475</v>
      </c>
      <c r="O12" s="22"/>
      <c r="P12" s="3">
        <f>H12/J12</f>
        <v>0.80755423154419914</v>
      </c>
      <c r="Q12" s="3">
        <f>C12/E12</f>
        <v>0.7029478458049887</v>
      </c>
    </row>
    <row r="13" spans="2:17" x14ac:dyDescent="0.25">
      <c r="B13" s="4">
        <v>2008</v>
      </c>
      <c r="C13" s="5">
        <v>604000</v>
      </c>
      <c r="D13" s="5">
        <v>241000</v>
      </c>
      <c r="E13" s="5">
        <v>908000</v>
      </c>
      <c r="F13" s="5">
        <v>1294000</v>
      </c>
      <c r="G13" s="11"/>
      <c r="H13" s="6">
        <v>619999.35</v>
      </c>
      <c r="I13" s="6">
        <v>191345.04</v>
      </c>
      <c r="J13" s="6">
        <f>H13+I13</f>
        <v>811344.39</v>
      </c>
      <c r="K13" s="6">
        <v>1231263</v>
      </c>
      <c r="L13" s="14"/>
      <c r="M13" s="7">
        <f>H13/(J13+K13)</f>
        <v>0.30353329427639048</v>
      </c>
      <c r="N13" s="3">
        <f>C13/(E13+F13)</f>
        <v>0.2742960944595822</v>
      </c>
      <c r="O13" s="22"/>
      <c r="P13" s="3">
        <f>H13/J13</f>
        <v>0.76416298385941872</v>
      </c>
      <c r="Q13" s="3">
        <f>C13/E13</f>
        <v>0.66519823788546251</v>
      </c>
    </row>
    <row r="14" spans="2:17" x14ac:dyDescent="0.25">
      <c r="B14" s="4">
        <v>2009</v>
      </c>
      <c r="C14" s="5">
        <v>661000</v>
      </c>
      <c r="D14" s="5">
        <v>233000</v>
      </c>
      <c r="E14" s="5">
        <v>951000</v>
      </c>
      <c r="F14" s="5">
        <v>1337000</v>
      </c>
      <c r="G14" s="11"/>
      <c r="H14" s="6">
        <v>665587.35</v>
      </c>
      <c r="I14" s="6">
        <v>179028.51</v>
      </c>
      <c r="J14" s="6">
        <f>H14+I14</f>
        <v>844615.86</v>
      </c>
      <c r="K14" s="6">
        <v>1273529</v>
      </c>
      <c r="L14" s="14"/>
      <c r="M14" s="7">
        <f>H14/(J14+K14)</f>
        <v>0.31423127028243009</v>
      </c>
      <c r="N14" s="3">
        <f>C14/(E14+F14)</f>
        <v>0.28889860139860141</v>
      </c>
      <c r="O14" s="22"/>
      <c r="P14" s="3">
        <f>H14/J14</f>
        <v>0.78803558105101179</v>
      </c>
      <c r="Q14" s="3">
        <f>C14/E14</f>
        <v>0.6950578338590957</v>
      </c>
    </row>
    <row r="15" spans="2:17" x14ac:dyDescent="0.25">
      <c r="B15" s="4">
        <v>2010</v>
      </c>
      <c r="C15" s="5">
        <v>675000</v>
      </c>
      <c r="D15" s="5">
        <v>232000</v>
      </c>
      <c r="E15" s="5">
        <v>976000</v>
      </c>
      <c r="F15" s="5">
        <v>1400000</v>
      </c>
      <c r="G15" s="11"/>
      <c r="H15" s="6">
        <v>692420.63</v>
      </c>
      <c r="I15" s="6">
        <v>195280.9</v>
      </c>
      <c r="J15" s="6">
        <f>H15+I15</f>
        <v>887701.53</v>
      </c>
      <c r="K15" s="6">
        <v>1422003</v>
      </c>
      <c r="L15" s="14"/>
      <c r="M15" s="7">
        <f>H15/(J15+K15)</f>
        <v>0.29978753602738961</v>
      </c>
      <c r="N15" s="3">
        <f>C15/(E15+F15)</f>
        <v>0.28409090909090912</v>
      </c>
      <c r="O15" s="22"/>
      <c r="P15" s="3">
        <f>H15/J15</f>
        <v>0.78001513639387332</v>
      </c>
      <c r="Q15" s="3">
        <f>C15/E15</f>
        <v>0.69159836065573765</v>
      </c>
    </row>
    <row r="16" spans="2:17" x14ac:dyDescent="0.25">
      <c r="B16" s="4">
        <v>2011</v>
      </c>
      <c r="C16" s="5">
        <v>755000</v>
      </c>
      <c r="D16" s="5">
        <v>222000</v>
      </c>
      <c r="E16" s="5">
        <v>1059000</v>
      </c>
      <c r="F16" s="5">
        <v>1407000</v>
      </c>
      <c r="G16" s="11"/>
      <c r="H16" s="6">
        <v>771153.13</v>
      </c>
      <c r="I16" s="6">
        <v>176862.39</v>
      </c>
      <c r="J16" s="6">
        <f>H16+I16</f>
        <v>948015.52</v>
      </c>
      <c r="K16" s="6">
        <v>1315772</v>
      </c>
      <c r="L16" s="14"/>
      <c r="M16" s="7">
        <f>H16/(J16+K16)</f>
        <v>0.34064731039775326</v>
      </c>
      <c r="N16" s="3">
        <f>C16/(E16+F16)</f>
        <v>0.30616382806163828</v>
      </c>
      <c r="O16" s="22"/>
      <c r="P16" s="3">
        <f>H16/J16</f>
        <v>0.81343935171019144</v>
      </c>
      <c r="Q16" s="3">
        <f>C16/E16</f>
        <v>0.71293673276676106</v>
      </c>
    </row>
    <row r="17" spans="1:17" x14ac:dyDescent="0.25">
      <c r="B17" s="4">
        <v>2012</v>
      </c>
      <c r="C17" s="5">
        <v>781000</v>
      </c>
      <c r="D17" s="5">
        <v>256000</v>
      </c>
      <c r="E17" s="5">
        <v>1114000</v>
      </c>
      <c r="F17" s="5">
        <v>1443000</v>
      </c>
      <c r="G17" s="11"/>
      <c r="H17" s="6">
        <v>786715.68</v>
      </c>
      <c r="I17" s="6">
        <v>203981.23</v>
      </c>
      <c r="J17" s="6">
        <f>H17+I17</f>
        <v>990696.91</v>
      </c>
      <c r="K17" s="6">
        <v>1345618.2</v>
      </c>
      <c r="L17" s="14"/>
      <c r="M17" s="7">
        <f>H17/(J17+K17)</f>
        <v>0.33673354961095125</v>
      </c>
      <c r="N17" s="3">
        <f>C17/(E17+F17)</f>
        <v>0.30543605788032852</v>
      </c>
      <c r="O17" s="22"/>
      <c r="P17" s="3">
        <f>H17/J17</f>
        <v>0.79410329441726024</v>
      </c>
      <c r="Q17" s="3">
        <f>C17/E17</f>
        <v>0.70107719928186718</v>
      </c>
    </row>
    <row r="18" spans="1:17" x14ac:dyDescent="0.25">
      <c r="B18" s="4">
        <v>2013</v>
      </c>
      <c r="C18" s="5">
        <v>815000</v>
      </c>
      <c r="D18" s="5">
        <v>270000</v>
      </c>
      <c r="E18" s="5">
        <v>1155000</v>
      </c>
      <c r="F18" s="5">
        <v>1494000</v>
      </c>
      <c r="G18" s="11"/>
      <c r="H18" s="6">
        <v>806660.52</v>
      </c>
      <c r="I18" s="6">
        <v>215158.31</v>
      </c>
      <c r="J18" s="6">
        <f>H18+I18</f>
        <v>1021818.8300000001</v>
      </c>
      <c r="K18" s="6">
        <v>1387238</v>
      </c>
      <c r="L18" s="14"/>
      <c r="M18" s="7">
        <f>H18/(J18+K18)</f>
        <v>0.33484495257839142</v>
      </c>
      <c r="N18" s="3">
        <f>C18/(E18+F18)</f>
        <v>0.30766326915817288</v>
      </c>
      <c r="O18" s="22"/>
      <c r="P18" s="3">
        <f>H18/J18</f>
        <v>0.78943595118520171</v>
      </c>
      <c r="Q18" s="3">
        <f>C18/E18</f>
        <v>0.7056277056277056</v>
      </c>
    </row>
    <row r="19" spans="1:17" x14ac:dyDescent="0.25">
      <c r="B19" s="4">
        <v>2014</v>
      </c>
      <c r="C19" s="5">
        <v>836000</v>
      </c>
      <c r="D19" s="5">
        <v>338000</v>
      </c>
      <c r="E19" s="5">
        <v>1255000</v>
      </c>
      <c r="F19" s="5">
        <v>1487000</v>
      </c>
      <c r="G19" s="11"/>
      <c r="H19" s="6">
        <v>831024.3</v>
      </c>
      <c r="I19" s="6">
        <v>230257.18</v>
      </c>
      <c r="J19" s="6">
        <f>H19+I19</f>
        <v>1061281.48</v>
      </c>
      <c r="K19" s="6">
        <v>1420454</v>
      </c>
      <c r="L19" s="14"/>
      <c r="M19" s="7">
        <f>H19/(J19+K19)</f>
        <v>0.33485611448001706</v>
      </c>
      <c r="N19" s="3">
        <f>C19/(E19+F19)</f>
        <v>0.30488694383661563</v>
      </c>
      <c r="O19" s="22"/>
      <c r="P19" s="3">
        <f>H19/J19</f>
        <v>0.78303853940803725</v>
      </c>
      <c r="Q19" s="3">
        <f>C19/E19</f>
        <v>0.66613545816733066</v>
      </c>
    </row>
    <row r="20" spans="1:17" x14ac:dyDescent="0.25">
      <c r="B20" s="4">
        <v>2015</v>
      </c>
      <c r="C20" s="5">
        <v>929000</v>
      </c>
      <c r="D20" s="5">
        <v>277000</v>
      </c>
      <c r="E20" s="8">
        <v>1206000</v>
      </c>
      <c r="F20" s="8">
        <v>1538000</v>
      </c>
      <c r="G20" s="12"/>
      <c r="H20" s="8">
        <v>928770.63</v>
      </c>
      <c r="I20" s="8">
        <v>273563.19</v>
      </c>
      <c r="J20" s="6">
        <f>H20+I20</f>
        <v>1202333.82</v>
      </c>
      <c r="K20" s="10">
        <v>1541379</v>
      </c>
      <c r="L20" s="12"/>
      <c r="M20" s="7">
        <f>H20/(J20+K20)</f>
        <v>0.33850868911273296</v>
      </c>
      <c r="N20" s="3">
        <f>C20/(E20+F20)</f>
        <v>0.33855685131195334</v>
      </c>
      <c r="O20" s="22"/>
      <c r="P20" s="3">
        <f>H20/J20</f>
        <v>0.77247318053483682</v>
      </c>
      <c r="Q20" s="3">
        <f>C20/E20</f>
        <v>0.77031509121061359</v>
      </c>
    </row>
    <row r="21" spans="1:17" x14ac:dyDescent="0.25">
      <c r="B21" s="4">
        <v>2016</v>
      </c>
      <c r="C21" s="5">
        <v>939000</v>
      </c>
      <c r="D21" s="5">
        <v>296000</v>
      </c>
      <c r="E21" s="8">
        <v>1235000</v>
      </c>
      <c r="F21" s="8">
        <v>1587000</v>
      </c>
      <c r="G21" s="12"/>
      <c r="H21" s="8">
        <v>939592</v>
      </c>
      <c r="I21" s="8">
        <v>293761.09000000003</v>
      </c>
      <c r="J21" s="6">
        <f>H21+I21</f>
        <v>1233353.0900000001</v>
      </c>
      <c r="K21" s="10">
        <v>1588960</v>
      </c>
      <c r="L21" s="12"/>
      <c r="M21" s="7">
        <f>H21/(J21+K21)</f>
        <v>0.33291558024839835</v>
      </c>
      <c r="N21" s="3">
        <f>C21/(E21+F21)</f>
        <v>0.33274273564847628</v>
      </c>
      <c r="O21" s="22"/>
      <c r="P21" s="3">
        <f>H21/J21</f>
        <v>0.76181914783219129</v>
      </c>
      <c r="Q21" s="3">
        <f>C21/E21</f>
        <v>0.76032388663967609</v>
      </c>
    </row>
    <row r="22" spans="1:17" x14ac:dyDescent="0.25">
      <c r="B22" s="4">
        <v>2017</v>
      </c>
      <c r="C22" s="5">
        <v>949000</v>
      </c>
      <c r="D22" s="5">
        <v>327000</v>
      </c>
      <c r="E22" s="8">
        <v>1276000</v>
      </c>
      <c r="F22" s="8">
        <v>1625000</v>
      </c>
      <c r="G22" s="12"/>
      <c r="H22" s="8">
        <v>932124.93</v>
      </c>
      <c r="I22" s="8">
        <v>320231.39</v>
      </c>
      <c r="J22" s="6">
        <f>H22+I22</f>
        <v>1252356.32</v>
      </c>
      <c r="K22" s="10">
        <v>1643801</v>
      </c>
      <c r="L22" s="12"/>
      <c r="M22" s="7">
        <f>H22/(J22+K22)</f>
        <v>0.32184885937066426</v>
      </c>
      <c r="N22" s="3">
        <f>C22/(E22+F22)</f>
        <v>0.3271285763529817</v>
      </c>
      <c r="O22" s="22"/>
      <c r="P22" s="3">
        <f>H22/J22</f>
        <v>0.74429690265786341</v>
      </c>
      <c r="Q22" s="3">
        <f>C22/E22</f>
        <v>0.74373040752351094</v>
      </c>
    </row>
    <row r="23" spans="1:17" x14ac:dyDescent="0.25">
      <c r="B23" s="4">
        <v>2018</v>
      </c>
      <c r="C23" s="5">
        <v>956000</v>
      </c>
      <c r="D23" s="5">
        <v>340000</v>
      </c>
      <c r="E23" s="8">
        <v>1296000</v>
      </c>
      <c r="F23" s="8">
        <v>1681000</v>
      </c>
      <c r="G23" s="12"/>
      <c r="H23" s="8">
        <v>955942.74</v>
      </c>
      <c r="I23" s="8">
        <v>339733.02</v>
      </c>
      <c r="J23" s="6">
        <f>H23+I23</f>
        <v>1295675.76</v>
      </c>
      <c r="K23" s="10">
        <v>1687358</v>
      </c>
      <c r="L23" s="12"/>
      <c r="M23" s="7">
        <f>H23/(J23+K23)</f>
        <v>0.32045991326628503</v>
      </c>
      <c r="N23" s="3">
        <f>C23/(E23+F23)</f>
        <v>0.32112865300638227</v>
      </c>
      <c r="O23" s="22"/>
      <c r="P23" s="3">
        <f>H23/J23</f>
        <v>0.73779472419859116</v>
      </c>
      <c r="Q23" s="3">
        <f>C23/E23</f>
        <v>0.73765432098765427</v>
      </c>
    </row>
    <row r="24" spans="1:17" x14ac:dyDescent="0.25">
      <c r="B24" s="4">
        <v>2019</v>
      </c>
      <c r="C24" s="5">
        <v>1013000</v>
      </c>
      <c r="D24" s="5">
        <v>344000</v>
      </c>
      <c r="E24" s="8">
        <v>1357000</v>
      </c>
      <c r="F24" s="8">
        <v>1707000</v>
      </c>
      <c r="G24" s="12"/>
      <c r="H24" s="8">
        <v>1013685</v>
      </c>
      <c r="I24" s="8">
        <v>340745.39</v>
      </c>
      <c r="J24" s="6">
        <f>H24+I24</f>
        <v>1354430.3900000001</v>
      </c>
      <c r="K24" s="10">
        <v>1712121</v>
      </c>
      <c r="L24" s="12"/>
      <c r="M24" s="7">
        <f>H24/(J24+K24)</f>
        <v>0.33056188241476037</v>
      </c>
      <c r="N24" s="3">
        <f>C24/(E24+F24)</f>
        <v>0.33061357702349869</v>
      </c>
      <c r="O24" s="22"/>
      <c r="P24" s="3">
        <f>H24/J24</f>
        <v>0.74842162984839689</v>
      </c>
      <c r="Q24" s="3">
        <f>C24/E24</f>
        <v>0.74649963154016208</v>
      </c>
    </row>
    <row r="25" spans="1:17" x14ac:dyDescent="0.25">
      <c r="B25" s="4">
        <v>2020</v>
      </c>
      <c r="C25" s="9">
        <v>956000</v>
      </c>
      <c r="D25" s="9">
        <v>335000</v>
      </c>
      <c r="E25" s="8">
        <v>1291000</v>
      </c>
      <c r="F25" s="8">
        <v>1862000</v>
      </c>
      <c r="G25" s="12"/>
      <c r="H25" s="8">
        <v>893825.18</v>
      </c>
      <c r="I25" s="8">
        <v>292024.67</v>
      </c>
      <c r="J25" s="6">
        <f>H25+I25</f>
        <v>1185849.8500000001</v>
      </c>
      <c r="K25" s="10">
        <v>1736247</v>
      </c>
      <c r="L25" s="12"/>
      <c r="M25" s="7">
        <f>H25/(J25+K25)</f>
        <v>0.30588485799161652</v>
      </c>
      <c r="N25" s="3">
        <f>C25/(E25+F25)</f>
        <v>0.30320329844592453</v>
      </c>
      <c r="O25" s="22"/>
      <c r="P25" s="3">
        <f>H25/J25</f>
        <v>0.75374228870543769</v>
      </c>
      <c r="Q25" s="3">
        <f>C25/E25</f>
        <v>0.74051123160340826</v>
      </c>
    </row>
    <row r="26" spans="1:17" x14ac:dyDescent="0.25">
      <c r="B26" s="4">
        <v>2021</v>
      </c>
      <c r="C26" s="10">
        <v>1036000</v>
      </c>
      <c r="D26" s="9">
        <v>372000</v>
      </c>
      <c r="E26" s="8">
        <v>1408000</v>
      </c>
      <c r="F26" s="8">
        <v>1838000</v>
      </c>
      <c r="G26" s="12"/>
      <c r="H26" s="8">
        <v>1036575</v>
      </c>
      <c r="I26" s="8">
        <v>367349.73</v>
      </c>
      <c r="J26" s="6">
        <f>H26+I26</f>
        <v>1403924.73</v>
      </c>
      <c r="K26" s="10">
        <v>1842393</v>
      </c>
      <c r="L26" s="12"/>
      <c r="M26" s="7">
        <f>H26/(J26+K26)</f>
        <v>0.3193079316977393</v>
      </c>
      <c r="N26" s="3">
        <f>C26/(E26+F26)</f>
        <v>0.31916204559457795</v>
      </c>
      <c r="O26" s="22"/>
      <c r="P26" s="3">
        <f>H26/J26</f>
        <v>0.73834086532545085</v>
      </c>
      <c r="Q26" s="3">
        <f>C26/E26</f>
        <v>0.73579545454545459</v>
      </c>
    </row>
    <row r="27" spans="1:17" x14ac:dyDescent="0.25">
      <c r="B27" s="4">
        <v>2022</v>
      </c>
      <c r="C27" s="10">
        <v>1136000</v>
      </c>
      <c r="D27" s="9">
        <v>367000</v>
      </c>
      <c r="E27" s="8">
        <v>1503000</v>
      </c>
      <c r="F27" s="8">
        <v>1837000</v>
      </c>
      <c r="G27" s="12"/>
      <c r="H27" s="8">
        <v>1135797</v>
      </c>
      <c r="I27" s="8">
        <v>361970.52</v>
      </c>
      <c r="J27" s="6">
        <f>H27+I27</f>
        <v>1497767.52</v>
      </c>
      <c r="K27" s="10">
        <v>1842655</v>
      </c>
      <c r="L27" s="12"/>
      <c r="M27" s="7">
        <f>H27/(J27+K27)</f>
        <v>0.34001596899783804</v>
      </c>
      <c r="N27" s="3">
        <f>C27/(E27+F27)</f>
        <v>0.34011976047904191</v>
      </c>
      <c r="O27" s="22"/>
      <c r="P27" s="3">
        <f>H27/J27</f>
        <v>0.75832663269397105</v>
      </c>
      <c r="Q27" s="3">
        <f>C27/E27</f>
        <v>0.75582168995342647</v>
      </c>
    </row>
    <row r="28" spans="1:17" x14ac:dyDescent="0.25">
      <c r="B28" s="4" t="s">
        <v>11</v>
      </c>
      <c r="C28" s="8">
        <v>815000</v>
      </c>
      <c r="D28" s="8">
        <v>183000</v>
      </c>
      <c r="E28" s="6">
        <v>998000</v>
      </c>
      <c r="F28" s="6">
        <v>1111000</v>
      </c>
      <c r="G28" s="13"/>
      <c r="H28" s="8">
        <v>1084546</v>
      </c>
      <c r="I28" s="8">
        <v>352088.51</v>
      </c>
      <c r="J28" s="6">
        <f>H28+I28</f>
        <v>1436634.51</v>
      </c>
      <c r="K28" s="10">
        <v>1771222</v>
      </c>
      <c r="L28" s="12"/>
      <c r="M28" s="7">
        <f>H28/(J28+K28)</f>
        <v>0.33809055879497557</v>
      </c>
      <c r="N28" s="3">
        <f>C28/(E28+F28)</f>
        <v>0.38643907064959698</v>
      </c>
      <c r="O28" s="22"/>
      <c r="P28" s="3">
        <f>H28/J28</f>
        <v>0.75492130562838844</v>
      </c>
      <c r="Q28" s="3">
        <f>C28/E28</f>
        <v>0.81663326653306612</v>
      </c>
    </row>
    <row r="29" spans="1:17" x14ac:dyDescent="0.25">
      <c r="B29" s="4" t="s">
        <v>12</v>
      </c>
      <c r="C29" s="8">
        <v>682000</v>
      </c>
      <c r="D29" s="8">
        <v>313000</v>
      </c>
      <c r="E29" s="6">
        <v>995000</v>
      </c>
      <c r="F29" s="6">
        <v>1168000</v>
      </c>
      <c r="G29" s="13"/>
      <c r="H29" s="8">
        <v>683403.05</v>
      </c>
      <c r="I29" s="8">
        <v>312223.99</v>
      </c>
      <c r="J29" s="6">
        <f>H29+I29</f>
        <v>995627.04</v>
      </c>
      <c r="K29" s="10">
        <v>1167947</v>
      </c>
      <c r="L29" s="12"/>
      <c r="M29" s="7">
        <f>H29/(J29+K29)</f>
        <v>0.31586765110197018</v>
      </c>
      <c r="N29" s="3">
        <f>C29/(E29+F29)</f>
        <v>0.31530282015718908</v>
      </c>
      <c r="O29" s="22"/>
      <c r="P29" s="3">
        <f>H29/J29</f>
        <v>0.68640467016645113</v>
      </c>
      <c r="Q29" s="3">
        <f>C29/E29</f>
        <v>0.68542713567839197</v>
      </c>
    </row>
    <row r="30" spans="1:17" x14ac:dyDescent="0.25">
      <c r="F30"/>
    </row>
    <row r="31" spans="1:17" x14ac:dyDescent="0.25">
      <c r="A31" s="18"/>
      <c r="B31" s="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Los Milagros Quinones Nunura</dc:creator>
  <cp:lastModifiedBy>Mario Gronert</cp:lastModifiedBy>
  <dcterms:created xsi:type="dcterms:W3CDTF">2025-12-17T22:24:34Z</dcterms:created>
  <dcterms:modified xsi:type="dcterms:W3CDTF">2026-01-22T23:38:28Z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2025-12-17T22:32:10Z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c64cb6ca-7282-451d-a138-6aad869ed88a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